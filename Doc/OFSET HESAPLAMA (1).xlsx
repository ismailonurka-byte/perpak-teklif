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1600" windowHeight="9816"/>
  </bookViews>
  <sheets>
    <sheet name="KUTU SİPARİŞ FORMU" sheetId="1" r:id="rId1"/>
    <sheet name="SİPARİŞ VERİ DOSYASI" sheetId="2" state="hidden" r:id="rId2"/>
    <sheet name="HESAPLAMA VERİ DOSYASI" sheetId="3" state="hidden" r:id="rId3"/>
  </sheets>
  <calcPr calcId="152511"/>
</workbook>
</file>

<file path=xl/calcChain.xml><?xml version="1.0" encoding="utf-8"?>
<calcChain xmlns="http://schemas.openxmlformats.org/spreadsheetml/2006/main">
  <c r="L4" i="1" l="1"/>
  <c r="M4" i="1" l="1"/>
  <c r="P30" i="1"/>
  <c r="Q17" i="1"/>
  <c r="P11" i="1"/>
  <c r="P8" i="1" s="1"/>
  <c r="L21" i="1"/>
  <c r="T23" i="1" l="1"/>
  <c r="P28" i="1" s="1"/>
  <c r="S23" i="1"/>
  <c r="P27" i="1" s="1"/>
  <c r="R23" i="1"/>
  <c r="P26" i="1" s="1"/>
  <c r="L19" i="1"/>
  <c r="V11" i="1"/>
  <c r="U11" i="1"/>
  <c r="L18" i="1" s="1"/>
  <c r="T11" i="1"/>
  <c r="R11" i="1"/>
  <c r="L22" i="1" l="1"/>
  <c r="B19" i="1" l="1"/>
  <c r="P31" i="1" s="1"/>
  <c r="L15" i="1" l="1"/>
  <c r="L17" i="1"/>
  <c r="P17" i="1"/>
  <c r="P25" i="1" s="1"/>
  <c r="P29" i="1" s="1"/>
  <c r="P34" i="1" s="1"/>
  <c r="P37" i="1" s="1"/>
  <c r="L13" i="1" l="1"/>
  <c r="L14" i="1"/>
  <c r="L16" i="1"/>
  <c r="L20" i="1" l="1"/>
  <c r="L25" i="1" s="1"/>
  <c r="L28" i="1" s="1"/>
</calcChain>
</file>

<file path=xl/sharedStrings.xml><?xml version="1.0" encoding="utf-8"?>
<sst xmlns="http://schemas.openxmlformats.org/spreadsheetml/2006/main" count="384" uniqueCount="175">
  <si>
    <t>KUTU SİPARİŞ OLUŞTURMA LİSTESİ</t>
  </si>
  <si>
    <t>FİRMA İSMİ</t>
  </si>
  <si>
    <t>ÜRÜN İSMİ</t>
  </si>
  <si>
    <t>BIÇAK NO</t>
  </si>
  <si>
    <t>AÇINIM</t>
  </si>
  <si>
    <t>OLUKLU</t>
  </si>
  <si>
    <t>TABAKA ADEDİ</t>
  </si>
  <si>
    <t>BASKI TÜRÜ</t>
  </si>
  <si>
    <t>RENK SAYISI</t>
  </si>
  <si>
    <t>BASKI SONRASI</t>
  </si>
  <si>
    <t>TERMİNİ</t>
  </si>
  <si>
    <t>FİYATI</t>
  </si>
  <si>
    <t>SİPARİŞ MİKTARI</t>
  </si>
  <si>
    <t>AMBALAJLAMA ŞEKLİ</t>
  </si>
  <si>
    <t>SEVK YERİ</t>
  </si>
  <si>
    <t>GRAFİK BİLGİSİ</t>
  </si>
  <si>
    <t>SİPARİŞ NOTLARI</t>
  </si>
  <si>
    <t>OFSET KUTU HESAPLAMA</t>
  </si>
  <si>
    <t xml:space="preserve">EN </t>
  </si>
  <si>
    <t>BOY</t>
  </si>
  <si>
    <t>KARTON</t>
  </si>
  <si>
    <t>ONDÜLE</t>
  </si>
  <si>
    <t>BASKI</t>
  </si>
  <si>
    <t>LAK</t>
  </si>
  <si>
    <t>SIVAMA</t>
  </si>
  <si>
    <t>KESİM</t>
  </si>
  <si>
    <t>YAPIŞTIRMA</t>
  </si>
  <si>
    <t>M2 FİYATI</t>
  </si>
  <si>
    <t>KALIP</t>
  </si>
  <si>
    <t>D.LAK M2</t>
  </si>
  <si>
    <t>GRAMAJ</t>
  </si>
  <si>
    <t>GEÇİŞ SAYISI</t>
  </si>
  <si>
    <t>GEÇİŞ ÇARPANI</t>
  </si>
  <si>
    <t>BOYA TL</t>
  </si>
  <si>
    <t>BASKI ADEDİ</t>
  </si>
  <si>
    <t>KUTU HESAP ÖZETİ</t>
  </si>
  <si>
    <t>TOPLAM</t>
  </si>
  <si>
    <t>MONTAJ</t>
  </si>
  <si>
    <t>KUTU ADEDİ</t>
  </si>
  <si>
    <t>KALIP GİDERİ</t>
  </si>
  <si>
    <t>DİĞER GİDER</t>
  </si>
  <si>
    <t>ORAN</t>
  </si>
  <si>
    <t>LEVHA</t>
  </si>
  <si>
    <t xml:space="preserve"> ÖLÇÜSÜ</t>
  </si>
  <si>
    <t>FLEKSO KUTU HESAPLAMA</t>
  </si>
  <si>
    <t xml:space="preserve">SAFYA </t>
  </si>
  <si>
    <t>FLEKSO BASKI</t>
  </si>
  <si>
    <t xml:space="preserve">LEVHA </t>
  </si>
  <si>
    <t xml:space="preserve"> FLEKSO HESAP ÖZETİ</t>
  </si>
  <si>
    <t>KARTON CİNSİ</t>
  </si>
  <si>
    <t>OLUKLU KALİTE</t>
  </si>
  <si>
    <t>BASKI ŞEKLİ</t>
  </si>
  <si>
    <t>GRAFİK</t>
  </si>
  <si>
    <t>KROMA</t>
  </si>
  <si>
    <t>KARTON YOK</t>
  </si>
  <si>
    <t>OLUKLU YOK</t>
  </si>
  <si>
    <t>BASKISIZ</t>
  </si>
  <si>
    <t>YOK</t>
  </si>
  <si>
    <t>SHRİNKSİZ DÖKME</t>
  </si>
  <si>
    <t>KALIP VAR</t>
  </si>
  <si>
    <t>KUŞESİZ KROMA</t>
  </si>
  <si>
    <t>ROLAND 700</t>
  </si>
  <si>
    <t>CMYK</t>
  </si>
  <si>
    <t>DİSPERSİYON LAK</t>
  </si>
  <si>
    <t>GOFRE</t>
  </si>
  <si>
    <t>SHRİNKLİ DÖKME</t>
  </si>
  <si>
    <t>ESKİ ÇALIŞMA</t>
  </si>
  <si>
    <t>BRİSTOL</t>
  </si>
  <si>
    <t>ROLAND 800</t>
  </si>
  <si>
    <t>SİYAH</t>
  </si>
  <si>
    <t>UV-LAK</t>
  </si>
  <si>
    <t>ASETAT</t>
  </si>
  <si>
    <t>SHRİNKLİ PALETLİ</t>
  </si>
  <si>
    <t>ESKİ ÇALIŞMA MONTAJ DEĞİŞİKLİĞİ</t>
  </si>
  <si>
    <t>BT LİNER</t>
  </si>
  <si>
    <t>FLEKSO</t>
  </si>
  <si>
    <t>KIRMIZI</t>
  </si>
  <si>
    <t>PARLAK SELEFON</t>
  </si>
  <si>
    <t>SELEFON PENCERE KESİM</t>
  </si>
  <si>
    <t>SHRİNKSİZ PALETLİ</t>
  </si>
  <si>
    <t>PDF VAR</t>
  </si>
  <si>
    <t>KRAFT</t>
  </si>
  <si>
    <t>MAVİ</t>
  </si>
  <si>
    <t>MAT SELEFON</t>
  </si>
  <si>
    <t>KISMİ LAK</t>
  </si>
  <si>
    <t>TASARIM TEMSİLCİYLE YAPILACAK</t>
  </si>
  <si>
    <t>LACİVERT</t>
  </si>
  <si>
    <t>HİGHLOSS</t>
  </si>
  <si>
    <t>TERMO LAK</t>
  </si>
  <si>
    <t>TASARIM MÜŞTERİYLE YAPILACAK</t>
  </si>
  <si>
    <t>TURUNCU</t>
  </si>
  <si>
    <t>KUŞ GÖZÜ</t>
  </si>
  <si>
    <t>YEŞİL</t>
  </si>
  <si>
    <t>BEYAZ</t>
  </si>
  <si>
    <t>SARI</t>
  </si>
  <si>
    <t>PEMBE</t>
  </si>
  <si>
    <t>KARTON GRAMAJ</t>
  </si>
  <si>
    <t>AMBALAJ ŞEKLİ</t>
  </si>
  <si>
    <t>EKLENTİ</t>
  </si>
  <si>
    <t>DİKİŞ</t>
  </si>
  <si>
    <t>TABAKA ÖLÇÜSÜ</t>
  </si>
  <si>
    <t>EN</t>
  </si>
  <si>
    <t>OFSET</t>
  </si>
  <si>
    <t>BASKI + KESİM</t>
  </si>
  <si>
    <t>BASKI+KESİM</t>
  </si>
  <si>
    <t>KİLİTLİ</t>
  </si>
  <si>
    <t>BİRİM MALİYET</t>
  </si>
  <si>
    <t>B</t>
  </si>
  <si>
    <t>B120</t>
  </si>
  <si>
    <t>S080</t>
  </si>
  <si>
    <t>T090</t>
  </si>
  <si>
    <t>B120/S080/T090 - B</t>
  </si>
  <si>
    <t>S135</t>
  </si>
  <si>
    <t>MK135</t>
  </si>
  <si>
    <t>B120/S135/MK135 - B</t>
  </si>
  <si>
    <t>B120/S135/T090 - B</t>
  </si>
  <si>
    <t>MK110</t>
  </si>
  <si>
    <t>MK110/S080/T090 - B</t>
  </si>
  <si>
    <t>MK110/S135/MK110 - B</t>
  </si>
  <si>
    <t>MK135/S135/MK135 - B</t>
  </si>
  <si>
    <t>T090/S080/T090 - B</t>
  </si>
  <si>
    <t>C</t>
  </si>
  <si>
    <t>B120/S135/T090 - C</t>
  </si>
  <si>
    <t>B125</t>
  </si>
  <si>
    <t>B125/S080/T090 - C</t>
  </si>
  <si>
    <t>KR100</t>
  </si>
  <si>
    <t>KR100/S135/MK110 - C</t>
  </si>
  <si>
    <t>KR135</t>
  </si>
  <si>
    <t>KR135/S135/MK135 - C</t>
  </si>
  <si>
    <t>MK110/S080/T090 - C</t>
  </si>
  <si>
    <t>S120</t>
  </si>
  <si>
    <t>MK110/S120/MK110 - C</t>
  </si>
  <si>
    <t>MK110/S135/MK110 - C</t>
  </si>
  <si>
    <t>S175</t>
  </si>
  <si>
    <t>MK110/S175/MK110 - C</t>
  </si>
  <si>
    <t>MK135/S135/MK135 - C</t>
  </si>
  <si>
    <t>MK135/S175/MK135 - C</t>
  </si>
  <si>
    <t>T090/S080/T090 - C</t>
  </si>
  <si>
    <t>E</t>
  </si>
  <si>
    <t>B120/S080/ - E</t>
  </si>
  <si>
    <t>B120/S080/T090 - E</t>
  </si>
  <si>
    <t>B125/S120/ - E</t>
  </si>
  <si>
    <t>MK110/S080/T090 - E</t>
  </si>
  <si>
    <t>MK110/S120/MK110 - E</t>
  </si>
  <si>
    <t>S125</t>
  </si>
  <si>
    <t>MK110/S125/T090 - E</t>
  </si>
  <si>
    <t>MK135/S135/MK135 - E</t>
  </si>
  <si>
    <t>T090/S080/ - E</t>
  </si>
  <si>
    <t>T090/S080/T090 - E</t>
  </si>
  <si>
    <t>T090/S120/ - E</t>
  </si>
  <si>
    <t>T090/S135/ - E</t>
  </si>
  <si>
    <t>EB</t>
  </si>
  <si>
    <t>B120/S120/S080/S120/T090 - EB</t>
  </si>
  <si>
    <t>B120/S135/S080/S135/MK110 - EB</t>
  </si>
  <si>
    <t>B125/S080/S080/S080/T090 - EB</t>
  </si>
  <si>
    <t>KR135/S120/S080/S120/MK135 - EB</t>
  </si>
  <si>
    <t>MK110/S080/S080/S080/MK110 - EB</t>
  </si>
  <si>
    <t>MK110/S080/S080/S080/T090 - EB</t>
  </si>
  <si>
    <t>MK110/S120/S080/S120/T090 - EB</t>
  </si>
  <si>
    <t>MK110/S135/S080/S135/T090 - EB</t>
  </si>
  <si>
    <t>MK135/S135/S080/S135/MK135 - EB</t>
  </si>
  <si>
    <t>T090/S080/S080/S080/T090 - EB</t>
  </si>
  <si>
    <t>MOR</t>
  </si>
  <si>
    <t>AÇIK MAVİ</t>
  </si>
  <si>
    <t>TURKUAZ</t>
  </si>
  <si>
    <t>GRİ</t>
  </si>
  <si>
    <t>FÜME</t>
  </si>
  <si>
    <t>ANTRASİT</t>
  </si>
  <si>
    <t>AÇIK YEŞİL</t>
  </si>
  <si>
    <t>KOYU YEŞİL</t>
  </si>
  <si>
    <t>KAHVERENGİ</t>
  </si>
  <si>
    <t>BORDO</t>
  </si>
  <si>
    <t>KÖSE AYAKKABI</t>
  </si>
  <si>
    <t>WEAL MERDANE SPOR KUTU</t>
  </si>
  <si>
    <t>RENK YEŞİL VE ALTIN YALDIZ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</si>
</sst>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3" borderId="4" xfId="0" applyFont="1" applyFill="1" applyBorder="1"/>
    <xf numFmtId="0" fontId="0" fillId="0" borderId="0" xfId="0" applyFill="1"/>
    <xf numFmtId="0" fontId="0" fillId="0" borderId="0" xfId="0" applyFill="1" applyBorder="1"/>
    <xf numFmtId="0" fontId="5" fillId="0" borderId="0" xfId="0" applyFont="1" applyFill="1"/>
    <xf numFmtId="0" fontId="5" fillId="3" borderId="35" xfId="0" applyFont="1" applyFill="1" applyBorder="1" applyAlignment="1">
      <alignment horizontal="center" vertical="center"/>
    </xf>
    <xf numFmtId="0" fontId="5" fillId="2" borderId="11" xfId="0" applyFont="1" applyFill="1" applyBorder="1"/>
    <xf numFmtId="0" fontId="5" fillId="2" borderId="28" xfId="0" applyFont="1" applyFill="1" applyBorder="1"/>
    <xf numFmtId="0" fontId="5" fillId="2" borderId="4" xfId="0" applyFont="1" applyFill="1" applyBorder="1"/>
    <xf numFmtId="0" fontId="5" fillId="2" borderId="6" xfId="0" applyFont="1" applyFill="1" applyBorder="1"/>
    <xf numFmtId="0" fontId="5" fillId="2" borderId="30" xfId="0" applyFont="1" applyFill="1" applyBorder="1"/>
    <xf numFmtId="3" fontId="1" fillId="3" borderId="5" xfId="0" applyNumberFormat="1" applyFont="1" applyFill="1" applyBorder="1"/>
    <xf numFmtId="0" fontId="0" fillId="0" borderId="38" xfId="0" applyFill="1" applyBorder="1"/>
    <xf numFmtId="0" fontId="5" fillId="0" borderId="25" xfId="0" applyFont="1" applyFill="1" applyBorder="1"/>
    <xf numFmtId="0" fontId="5" fillId="0" borderId="0" xfId="0" applyFont="1" applyFill="1" applyBorder="1"/>
    <xf numFmtId="0" fontId="0" fillId="0" borderId="23" xfId="0" applyFill="1" applyBorder="1"/>
    <xf numFmtId="0" fontId="0" fillId="0" borderId="24" xfId="0" applyFill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5" borderId="26" xfId="0" applyFont="1" applyFill="1" applyBorder="1"/>
    <xf numFmtId="0" fontId="7" fillId="5" borderId="27" xfId="0" applyFont="1" applyFill="1" applyBorder="1"/>
    <xf numFmtId="0" fontId="10" fillId="5" borderId="11" xfId="0" applyFont="1" applyFill="1" applyBorder="1"/>
    <xf numFmtId="0" fontId="11" fillId="5" borderId="28" xfId="0" applyFont="1" applyFill="1" applyBorder="1"/>
    <xf numFmtId="0" fontId="8" fillId="5" borderId="11" xfId="0" applyFont="1" applyFill="1" applyBorder="1"/>
    <xf numFmtId="0" fontId="12" fillId="5" borderId="28" xfId="0" applyFont="1" applyFill="1" applyBorder="1"/>
    <xf numFmtId="0" fontId="10" fillId="5" borderId="4" xfId="0" applyFont="1" applyFill="1" applyBorder="1"/>
    <xf numFmtId="0" fontId="11" fillId="5" borderId="6" xfId="0" applyFont="1" applyFill="1" applyBorder="1"/>
    <xf numFmtId="0" fontId="12" fillId="5" borderId="4" xfId="0" applyFont="1" applyFill="1" applyBorder="1"/>
    <xf numFmtId="0" fontId="12" fillId="5" borderId="6" xfId="0" applyFont="1" applyFill="1" applyBorder="1"/>
    <xf numFmtId="0" fontId="8" fillId="5" borderId="4" xfId="0" applyFont="1" applyFill="1" applyBorder="1"/>
    <xf numFmtId="0" fontId="11" fillId="5" borderId="4" xfId="0" applyFont="1" applyFill="1" applyBorder="1"/>
    <xf numFmtId="0" fontId="11" fillId="5" borderId="7" xfId="0" applyFont="1" applyFill="1" applyBorder="1"/>
    <xf numFmtId="0" fontId="11" fillId="5" borderId="29" xfId="0" applyFont="1" applyFill="1" applyBorder="1"/>
    <xf numFmtId="0" fontId="12" fillId="5" borderId="7" xfId="0" applyFont="1" applyFill="1" applyBorder="1"/>
    <xf numFmtId="0" fontId="12" fillId="5" borderId="29" xfId="0" applyFont="1" applyFill="1" applyBorder="1"/>
    <xf numFmtId="0" fontId="8" fillId="5" borderId="7" xfId="0" applyFont="1" applyFill="1" applyBorder="1"/>
    <xf numFmtId="3" fontId="12" fillId="5" borderId="29" xfId="0" applyNumberFormat="1" applyFont="1" applyFill="1" applyBorder="1"/>
    <xf numFmtId="0" fontId="11" fillId="5" borderId="12" xfId="0" applyFont="1" applyFill="1" applyBorder="1"/>
    <xf numFmtId="0" fontId="11" fillId="5" borderId="14" xfId="0" applyFont="1" applyFill="1" applyBorder="1"/>
    <xf numFmtId="0" fontId="12" fillId="5" borderId="12" xfId="0" applyFont="1" applyFill="1" applyBorder="1"/>
    <xf numFmtId="0" fontId="12" fillId="5" borderId="14" xfId="0" applyFont="1" applyFill="1" applyBorder="1"/>
    <xf numFmtId="0" fontId="8" fillId="5" borderId="12" xfId="0" applyFont="1" applyFill="1" applyBorder="1"/>
    <xf numFmtId="0" fontId="11" fillId="4" borderId="6" xfId="0" applyFont="1" applyFill="1" applyBorder="1"/>
    <xf numFmtId="3" fontId="12" fillId="4" borderId="28" xfId="0" applyNumberFormat="1" applyFont="1" applyFill="1" applyBorder="1"/>
    <xf numFmtId="3" fontId="12" fillId="4" borderId="6" xfId="0" applyNumberFormat="1" applyFont="1" applyFill="1" applyBorder="1"/>
    <xf numFmtId="4" fontId="12" fillId="4" borderId="6" xfId="0" applyNumberFormat="1" applyFont="1" applyFill="1" applyBorder="1"/>
    <xf numFmtId="0" fontId="8" fillId="4" borderId="28" xfId="0" applyFont="1" applyFill="1" applyBorder="1"/>
    <xf numFmtId="0" fontId="8" fillId="4" borderId="11" xfId="0" applyFont="1" applyFill="1" applyBorder="1"/>
    <xf numFmtId="0" fontId="7" fillId="4" borderId="43" xfId="0" applyNumberFormat="1" applyFont="1" applyFill="1" applyBorder="1"/>
    <xf numFmtId="3" fontId="7" fillId="5" borderId="11" xfId="0" applyNumberFormat="1" applyFont="1" applyFill="1" applyBorder="1"/>
    <xf numFmtId="0" fontId="7" fillId="5" borderId="28" xfId="0" applyNumberFormat="1" applyFont="1" applyFill="1" applyBorder="1"/>
    <xf numFmtId="0" fontId="9" fillId="5" borderId="42" xfId="0" applyFont="1" applyFill="1" applyBorder="1"/>
    <xf numFmtId="3" fontId="7" fillId="5" borderId="4" xfId="0" applyNumberFormat="1" applyFont="1" applyFill="1" applyBorder="1"/>
    <xf numFmtId="0" fontId="7" fillId="5" borderId="6" xfId="0" applyNumberFormat="1" applyFont="1" applyFill="1" applyBorder="1"/>
    <xf numFmtId="0" fontId="7" fillId="5" borderId="37" xfId="0" applyFont="1" applyFill="1" applyBorder="1"/>
    <xf numFmtId="0" fontId="7" fillId="5" borderId="8" xfId="0" applyNumberFormat="1" applyFont="1" applyFill="1" applyBorder="1"/>
    <xf numFmtId="0" fontId="7" fillId="5" borderId="4" xfId="0" applyFont="1" applyFill="1" applyBorder="1"/>
    <xf numFmtId="0" fontId="7" fillId="5" borderId="6" xfId="0" applyFont="1" applyFill="1" applyBorder="1"/>
    <xf numFmtId="3" fontId="7" fillId="5" borderId="12" xfId="0" applyNumberFormat="1" applyFont="1" applyFill="1" applyBorder="1"/>
    <xf numFmtId="0" fontId="7" fillId="5" borderId="14" xfId="0" applyNumberFormat="1" applyFont="1" applyFill="1" applyBorder="1"/>
    <xf numFmtId="0" fontId="7" fillId="5" borderId="32" xfId="0" applyFont="1" applyFill="1" applyBorder="1"/>
    <xf numFmtId="0" fontId="7" fillId="5" borderId="44" xfId="0" applyNumberFormat="1" applyFont="1" applyFill="1" applyBorder="1"/>
    <xf numFmtId="0" fontId="7" fillId="5" borderId="12" xfId="0" applyFont="1" applyFill="1" applyBorder="1"/>
    <xf numFmtId="0" fontId="7" fillId="5" borderId="14" xfId="0" applyFont="1" applyFill="1" applyBorder="1"/>
    <xf numFmtId="0" fontId="7" fillId="4" borderId="11" xfId="0" applyFont="1" applyFill="1" applyBorder="1"/>
    <xf numFmtId="0" fontId="7" fillId="4" borderId="28" xfId="0" applyFont="1" applyFill="1" applyBorder="1"/>
    <xf numFmtId="3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1" fillId="6" borderId="7" xfId="0" applyFont="1" applyFill="1" applyBorder="1"/>
    <xf numFmtId="0" fontId="1" fillId="6" borderId="47" xfId="0" applyFont="1" applyFill="1" applyBorder="1"/>
    <xf numFmtId="0" fontId="5" fillId="3" borderId="4" xfId="0" applyFont="1" applyFill="1" applyBorder="1"/>
    <xf numFmtId="3" fontId="0" fillId="3" borderId="6" xfId="0" applyNumberFormat="1" applyFill="1" applyBorder="1"/>
    <xf numFmtId="0" fontId="5" fillId="6" borderId="7" xfId="0" applyFont="1" applyFill="1" applyBorder="1"/>
    <xf numFmtId="4" fontId="1" fillId="6" borderId="29" xfId="0" applyNumberFormat="1" applyFont="1" applyFill="1" applyBorder="1"/>
    <xf numFmtId="0" fontId="5" fillId="3" borderId="19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3" fontId="1" fillId="2" borderId="30" xfId="0" applyNumberFormat="1" applyFont="1" applyFill="1" applyBorder="1" applyAlignment="1" applyProtection="1">
      <alignment horizontal="center" vertical="center"/>
    </xf>
    <xf numFmtId="3" fontId="12" fillId="2" borderId="14" xfId="0" applyNumberFormat="1" applyFont="1" applyFill="1" applyBorder="1"/>
    <xf numFmtId="0" fontId="0" fillId="2" borderId="3" xfId="0" applyFill="1" applyBorder="1"/>
    <xf numFmtId="0" fontId="5" fillId="2" borderId="1" xfId="0" applyFont="1" applyFill="1" applyBorder="1"/>
    <xf numFmtId="0" fontId="5" fillId="6" borderId="12" xfId="0" applyFont="1" applyFill="1" applyBorder="1"/>
    <xf numFmtId="0" fontId="5" fillId="6" borderId="14" xfId="0" applyFont="1" applyFill="1" applyBorder="1"/>
    <xf numFmtId="3" fontId="5" fillId="2" borderId="30" xfId="0" applyNumberFormat="1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3" fontId="1" fillId="2" borderId="5" xfId="0" applyNumberFormat="1" applyFont="1" applyFill="1" applyBorder="1"/>
    <xf numFmtId="0" fontId="5" fillId="7" borderId="30" xfId="0" applyFont="1" applyFill="1" applyBorder="1"/>
    <xf numFmtId="9" fontId="5" fillId="7" borderId="31" xfId="0" applyNumberFormat="1" applyFont="1" applyFill="1" applyBorder="1"/>
    <xf numFmtId="9" fontId="5" fillId="7" borderId="30" xfId="0" applyNumberFormat="1" applyFont="1" applyFill="1" applyBorder="1"/>
    <xf numFmtId="3" fontId="0" fillId="2" borderId="28" xfId="0" applyNumberFormat="1" applyFill="1" applyBorder="1"/>
    <xf numFmtId="0" fontId="1" fillId="0" borderId="8" xfId="0" applyFont="1" applyBorder="1"/>
    <xf numFmtId="0" fontId="1" fillId="0" borderId="37" xfId="0" applyFont="1" applyBorder="1"/>
    <xf numFmtId="0" fontId="0" fillId="0" borderId="5" xfId="0" applyBorder="1" applyProtection="1">
      <protection locked="0"/>
    </xf>
    <xf numFmtId="0" fontId="0" fillId="0" borderId="5" xfId="0" applyBorder="1"/>
    <xf numFmtId="0" fontId="1" fillId="0" borderId="0" xfId="0" applyFont="1"/>
    <xf numFmtId="3" fontId="12" fillId="2" borderId="6" xfId="0" applyNumberFormat="1" applyFont="1" applyFill="1" applyBorder="1" applyAlignment="1">
      <alignment horizontal="right"/>
    </xf>
    <xf numFmtId="0" fontId="3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3" fontId="1" fillId="5" borderId="39" xfId="0" applyNumberFormat="1" applyFont="1" applyFill="1" applyBorder="1" applyAlignment="1">
      <alignment horizontal="center"/>
    </xf>
    <xf numFmtId="3" fontId="1" fillId="5" borderId="31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center"/>
    </xf>
    <xf numFmtId="3" fontId="4" fillId="2" borderId="9" xfId="0" applyNumberFormat="1" applyFont="1" applyFill="1" applyBorder="1" applyAlignment="1">
      <alignment horizontal="center"/>
    </xf>
    <xf numFmtId="3" fontId="4" fillId="2" borderId="10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6" fillId="5" borderId="33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tabSelected="1" zoomScaleNormal="100" workbookViewId="0">
      <selection activeCell="B19" sqref="B19:I19"/>
    </sheetView>
  </sheetViews>
  <sheetFormatPr defaultRowHeight="14.4" x14ac:dyDescent="0.3"/>
  <cols>
    <col min="1" max="1" width="20.5546875" customWidth="1"/>
    <col min="2" max="9" width="6.5546875" customWidth="1"/>
    <col min="10" max="10" width="6.21875" customWidth="1"/>
    <col min="11" max="11" width="15.77734375" customWidth="1"/>
    <col min="12" max="12" width="9.21875" bestFit="1" customWidth="1"/>
    <col min="15" max="15" width="14.21875" customWidth="1"/>
    <col min="16" max="16" width="9" customWidth="1"/>
    <col min="20" max="20" width="10.5546875" customWidth="1"/>
    <col min="22" max="22" width="10.77734375" customWidth="1"/>
  </cols>
  <sheetData>
    <row r="1" spans="1:22" x14ac:dyDescent="0.3">
      <c r="A1" s="195" t="s">
        <v>0</v>
      </c>
      <c r="B1" s="196"/>
      <c r="C1" s="196"/>
      <c r="D1" s="196"/>
      <c r="E1" s="196"/>
      <c r="F1" s="196"/>
      <c r="G1" s="196"/>
      <c r="H1" s="196"/>
      <c r="I1" s="197"/>
      <c r="K1" s="177" t="s">
        <v>17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</row>
    <row r="2" spans="1:22" ht="14.4" customHeight="1" thickBot="1" x14ac:dyDescent="0.35">
      <c r="A2" s="198"/>
      <c r="B2" s="199"/>
      <c r="C2" s="199"/>
      <c r="D2" s="199"/>
      <c r="E2" s="199"/>
      <c r="F2" s="199"/>
      <c r="G2" s="199"/>
      <c r="H2" s="199"/>
      <c r="I2" s="200"/>
      <c r="K2" s="180"/>
      <c r="L2" s="181"/>
      <c r="M2" s="181"/>
      <c r="N2" s="182"/>
      <c r="O2" s="182"/>
      <c r="P2" s="182"/>
      <c r="Q2" s="182"/>
      <c r="R2" s="182"/>
      <c r="S2" s="182"/>
      <c r="T2" s="182"/>
      <c r="U2" s="182"/>
      <c r="V2" s="183"/>
    </row>
    <row r="3" spans="1:22" ht="15" customHeight="1" thickBot="1" x14ac:dyDescent="0.35">
      <c r="A3" s="198"/>
      <c r="B3" s="199"/>
      <c r="C3" s="199"/>
      <c r="D3" s="199"/>
      <c r="E3" s="199"/>
      <c r="F3" s="199"/>
      <c r="G3" s="199"/>
      <c r="H3" s="199"/>
      <c r="I3" s="200"/>
      <c r="K3" s="87" t="s">
        <v>42</v>
      </c>
      <c r="L3" s="89" t="s">
        <v>18</v>
      </c>
      <c r="M3" s="88" t="s">
        <v>19</v>
      </c>
      <c r="N3" s="184"/>
      <c r="O3" s="185"/>
      <c r="P3" s="185"/>
      <c r="Q3" s="185"/>
      <c r="R3" s="185"/>
      <c r="S3" s="185"/>
      <c r="T3" s="185"/>
      <c r="U3" s="185"/>
      <c r="V3" s="186"/>
    </row>
    <row r="4" spans="1:22" ht="18.600000000000001" thickBot="1" x14ac:dyDescent="0.4">
      <c r="A4" s="1" t="s">
        <v>1</v>
      </c>
      <c r="B4" s="160" t="s">
        <v>172</v>
      </c>
      <c r="C4" s="160"/>
      <c r="D4" s="160"/>
      <c r="E4" s="160"/>
      <c r="F4" s="160"/>
      <c r="G4" s="160"/>
      <c r="H4" s="160"/>
      <c r="I4" s="201"/>
      <c r="K4" s="78" t="s">
        <v>43</v>
      </c>
      <c r="L4" s="90">
        <f>B8</f>
        <v>750</v>
      </c>
      <c r="M4" s="90">
        <f>F8</f>
        <v>1057</v>
      </c>
      <c r="N4" s="187"/>
      <c r="O4" s="188"/>
      <c r="P4" s="188"/>
      <c r="Q4" s="188"/>
      <c r="R4" s="188"/>
      <c r="S4" s="188"/>
      <c r="T4" s="188"/>
      <c r="U4" s="188"/>
      <c r="V4" s="189"/>
    </row>
    <row r="5" spans="1:22" ht="18.600000000000001" thickBot="1" x14ac:dyDescent="0.4">
      <c r="A5" s="1" t="s">
        <v>2</v>
      </c>
      <c r="B5" s="160" t="s">
        <v>173</v>
      </c>
      <c r="C5" s="160"/>
      <c r="D5" s="160"/>
      <c r="E5" s="160"/>
      <c r="F5" s="160"/>
      <c r="G5" s="160"/>
      <c r="H5" s="160"/>
      <c r="I5" s="201"/>
      <c r="K5" s="190" t="s">
        <v>20</v>
      </c>
      <c r="L5" s="191"/>
      <c r="M5" s="152" t="s">
        <v>21</v>
      </c>
      <c r="N5" s="153"/>
      <c r="O5" s="194" t="s">
        <v>22</v>
      </c>
      <c r="P5" s="153"/>
      <c r="Q5" s="194" t="s">
        <v>23</v>
      </c>
      <c r="R5" s="153"/>
      <c r="S5" s="194" t="s">
        <v>24</v>
      </c>
      <c r="T5" s="153"/>
      <c r="U5" s="29" t="s">
        <v>25</v>
      </c>
      <c r="V5" s="30" t="s">
        <v>26</v>
      </c>
    </row>
    <row r="6" spans="1:22" ht="18" x14ac:dyDescent="0.35">
      <c r="A6" s="1" t="s">
        <v>3</v>
      </c>
      <c r="B6" s="140">
        <v>16500</v>
      </c>
      <c r="C6" s="140"/>
      <c r="D6" s="140"/>
      <c r="E6" s="154" t="s">
        <v>4</v>
      </c>
      <c r="F6" s="155"/>
      <c r="G6" s="156">
        <v>2</v>
      </c>
      <c r="H6" s="157"/>
      <c r="I6" s="158"/>
      <c r="K6" s="31" t="s">
        <v>27</v>
      </c>
      <c r="L6" s="32">
        <v>43.5</v>
      </c>
      <c r="M6" s="33" t="s">
        <v>27</v>
      </c>
      <c r="N6" s="34">
        <v>10</v>
      </c>
      <c r="O6" s="33" t="s">
        <v>28</v>
      </c>
      <c r="P6" s="53">
        <v>2000</v>
      </c>
      <c r="Q6" s="33" t="s">
        <v>29</v>
      </c>
      <c r="R6" s="56"/>
      <c r="S6" s="33" t="s">
        <v>27</v>
      </c>
      <c r="T6" s="56">
        <v>2.85</v>
      </c>
      <c r="U6" s="57">
        <v>2.25</v>
      </c>
      <c r="V6" s="56"/>
    </row>
    <row r="7" spans="1:22" ht="18" x14ac:dyDescent="0.3">
      <c r="A7" s="202" t="s">
        <v>100</v>
      </c>
      <c r="B7" s="161" t="s">
        <v>101</v>
      </c>
      <c r="C7" s="161"/>
      <c r="D7" s="161"/>
      <c r="E7" s="161"/>
      <c r="F7" s="192" t="s">
        <v>19</v>
      </c>
      <c r="G7" s="192"/>
      <c r="H7" s="192"/>
      <c r="I7" s="193"/>
      <c r="K7" s="35" t="s">
        <v>30</v>
      </c>
      <c r="L7" s="52">
        <v>230</v>
      </c>
      <c r="M7" s="37"/>
      <c r="N7" s="38"/>
      <c r="O7" s="39" t="s">
        <v>8</v>
      </c>
      <c r="P7" s="54">
        <v>2</v>
      </c>
      <c r="Q7" s="33"/>
      <c r="R7" s="38"/>
      <c r="S7" s="37"/>
      <c r="T7" s="38"/>
      <c r="U7" s="37"/>
      <c r="V7" s="38"/>
    </row>
    <row r="8" spans="1:22" ht="18" x14ac:dyDescent="0.35">
      <c r="A8" s="203"/>
      <c r="B8" s="159">
        <v>750</v>
      </c>
      <c r="C8" s="160"/>
      <c r="D8" s="160"/>
      <c r="E8" s="160"/>
      <c r="F8" s="161">
        <v>1057</v>
      </c>
      <c r="G8" s="161"/>
      <c r="H8" s="161"/>
      <c r="I8" s="162"/>
      <c r="K8" s="40"/>
      <c r="L8" s="36"/>
      <c r="M8" s="37"/>
      <c r="N8" s="38"/>
      <c r="O8" s="39" t="s">
        <v>31</v>
      </c>
      <c r="P8" s="109">
        <f>IF(P11&gt;3000,P11-3000,"0")</f>
        <v>2000</v>
      </c>
      <c r="Q8" s="37"/>
      <c r="R8" s="38"/>
      <c r="S8" s="37"/>
      <c r="T8" s="38"/>
      <c r="U8" s="37"/>
      <c r="V8" s="38"/>
    </row>
    <row r="9" spans="1:22" ht="18" x14ac:dyDescent="0.35">
      <c r="A9" s="24" t="s">
        <v>49</v>
      </c>
      <c r="B9" s="147" t="s">
        <v>53</v>
      </c>
      <c r="C9" s="148"/>
      <c r="D9" s="148"/>
      <c r="E9" s="148"/>
      <c r="F9" s="148"/>
      <c r="G9" s="148"/>
      <c r="H9" s="148"/>
      <c r="I9" s="149"/>
      <c r="K9" s="40"/>
      <c r="L9" s="36"/>
      <c r="M9" s="37"/>
      <c r="N9" s="38"/>
      <c r="O9" s="39" t="s">
        <v>32</v>
      </c>
      <c r="P9" s="55">
        <v>0.55000000000000004</v>
      </c>
      <c r="Q9" s="37"/>
      <c r="R9" s="38"/>
      <c r="S9" s="37"/>
      <c r="T9" s="38"/>
      <c r="U9" s="37"/>
      <c r="V9" s="38"/>
    </row>
    <row r="10" spans="1:22" ht="18" x14ac:dyDescent="0.35">
      <c r="A10" s="24" t="s">
        <v>96</v>
      </c>
      <c r="B10" s="147">
        <v>230</v>
      </c>
      <c r="C10" s="148"/>
      <c r="D10" s="148"/>
      <c r="E10" s="148"/>
      <c r="F10" s="148"/>
      <c r="G10" s="148"/>
      <c r="H10" s="148"/>
      <c r="I10" s="149"/>
      <c r="K10" s="41"/>
      <c r="L10" s="42"/>
      <c r="M10" s="43"/>
      <c r="N10" s="44"/>
      <c r="O10" s="45" t="s">
        <v>33</v>
      </c>
      <c r="P10" s="46">
        <v>3600</v>
      </c>
      <c r="Q10" s="43"/>
      <c r="R10" s="44"/>
      <c r="S10" s="43"/>
      <c r="T10" s="44"/>
      <c r="U10" s="43"/>
      <c r="V10" s="44"/>
    </row>
    <row r="11" spans="1:22" ht="18.600000000000001" thickBot="1" x14ac:dyDescent="0.4">
      <c r="A11" s="1" t="s">
        <v>5</v>
      </c>
      <c r="B11" s="138" t="s">
        <v>139</v>
      </c>
      <c r="C11" s="138"/>
      <c r="D11" s="138"/>
      <c r="E11" s="138"/>
      <c r="F11" s="138"/>
      <c r="G11" s="138"/>
      <c r="H11" s="138"/>
      <c r="I11" s="139"/>
      <c r="K11" s="47"/>
      <c r="L11" s="48"/>
      <c r="M11" s="49"/>
      <c r="N11" s="50"/>
      <c r="O11" s="51" t="s">
        <v>34</v>
      </c>
      <c r="P11" s="91">
        <f>B12</f>
        <v>5000</v>
      </c>
      <c r="Q11" s="49"/>
      <c r="R11" s="50">
        <f>SUM(R6:R10)</f>
        <v>0</v>
      </c>
      <c r="S11" s="49"/>
      <c r="T11" s="50">
        <f>SUM(T6:T10)</f>
        <v>2.85</v>
      </c>
      <c r="U11" s="49">
        <f>SUM(U6:U10)</f>
        <v>2.25</v>
      </c>
      <c r="V11" s="50">
        <f>SUM(V6:V10)</f>
        <v>0</v>
      </c>
    </row>
    <row r="12" spans="1:22" ht="18.600000000000001" thickBot="1" x14ac:dyDescent="0.4">
      <c r="A12" s="1" t="s">
        <v>6</v>
      </c>
      <c r="B12" s="150">
        <v>5000</v>
      </c>
      <c r="C12" s="150"/>
      <c r="D12" s="150"/>
      <c r="E12" s="150"/>
      <c r="F12" s="150"/>
      <c r="G12" s="150"/>
      <c r="H12" s="150"/>
      <c r="I12" s="151"/>
      <c r="K12" s="133" t="s">
        <v>35</v>
      </c>
      <c r="L12" s="13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8.600000000000001" thickBot="1" x14ac:dyDescent="0.4">
      <c r="A13" s="1" t="s">
        <v>7</v>
      </c>
      <c r="B13" s="138" t="s">
        <v>68</v>
      </c>
      <c r="C13" s="138"/>
      <c r="D13" s="138"/>
      <c r="E13" s="138"/>
      <c r="F13" s="138"/>
      <c r="G13" s="138"/>
      <c r="H13" s="138"/>
      <c r="I13" s="139"/>
      <c r="K13" s="8" t="s">
        <v>20</v>
      </c>
      <c r="L13" s="9">
        <f>(L4*M4*L6*L7)/1000000000</f>
        <v>7.9314637499999998</v>
      </c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8" x14ac:dyDescent="0.35">
      <c r="A14" s="1" t="s">
        <v>8</v>
      </c>
      <c r="B14" s="138" t="s">
        <v>92</v>
      </c>
      <c r="C14" s="138"/>
      <c r="D14" s="138"/>
      <c r="E14" s="138"/>
      <c r="F14" s="138"/>
      <c r="G14" s="138"/>
      <c r="H14" s="138"/>
      <c r="I14" s="139"/>
      <c r="K14" s="10" t="s">
        <v>21</v>
      </c>
      <c r="L14" s="11">
        <f>(L4*M4*N6)/1000000</f>
        <v>7.9275000000000002</v>
      </c>
      <c r="M14" s="4"/>
      <c r="N14" s="4"/>
      <c r="O14" s="127" t="s">
        <v>44</v>
      </c>
      <c r="P14" s="128"/>
      <c r="Q14" s="128"/>
      <c r="R14" s="128"/>
      <c r="S14" s="128"/>
      <c r="T14" s="129"/>
      <c r="U14" s="4"/>
      <c r="V14" s="4"/>
    </row>
    <row r="15" spans="1:22" ht="18.600000000000001" thickBot="1" x14ac:dyDescent="0.4">
      <c r="A15" s="1" t="s">
        <v>9</v>
      </c>
      <c r="B15" s="138"/>
      <c r="C15" s="138"/>
      <c r="D15" s="138"/>
      <c r="E15" s="138"/>
      <c r="F15" s="138"/>
      <c r="G15" s="138"/>
      <c r="H15" s="138"/>
      <c r="I15" s="139"/>
      <c r="K15" s="10" t="s">
        <v>22</v>
      </c>
      <c r="L15" s="11">
        <f>((P6*P7)+(P8*P9)*P7+P10)/P11</f>
        <v>1.96</v>
      </c>
      <c r="M15" s="4"/>
      <c r="N15" s="4"/>
      <c r="O15" s="130"/>
      <c r="P15" s="131"/>
      <c r="Q15" s="131"/>
      <c r="R15" s="131"/>
      <c r="S15" s="131"/>
      <c r="T15" s="132"/>
      <c r="U15" s="4"/>
      <c r="V15" s="4"/>
    </row>
    <row r="16" spans="1:22" ht="18.600000000000001" thickBot="1" x14ac:dyDescent="0.4">
      <c r="A16" s="1" t="s">
        <v>98</v>
      </c>
      <c r="B16" s="147" t="s">
        <v>105</v>
      </c>
      <c r="C16" s="148"/>
      <c r="D16" s="148"/>
      <c r="E16" s="148"/>
      <c r="F16" s="148"/>
      <c r="G16" s="148"/>
      <c r="H16" s="148"/>
      <c r="I16" s="149"/>
      <c r="K16" s="10" t="s">
        <v>23</v>
      </c>
      <c r="L16" s="11">
        <f>((L4*M4)*R11/1000000)</f>
        <v>0</v>
      </c>
      <c r="M16" s="4"/>
      <c r="N16" s="4"/>
      <c r="O16" s="7" t="s">
        <v>47</v>
      </c>
      <c r="P16" s="80" t="s">
        <v>18</v>
      </c>
      <c r="Q16" s="79" t="s">
        <v>19</v>
      </c>
      <c r="R16" s="5"/>
      <c r="S16" s="5"/>
      <c r="T16" s="14"/>
      <c r="U16" s="4"/>
      <c r="V16" s="4"/>
    </row>
    <row r="17" spans="1:22" ht="18" customHeight="1" thickBot="1" x14ac:dyDescent="0.4">
      <c r="A17" s="1" t="s">
        <v>10</v>
      </c>
      <c r="B17" s="140"/>
      <c r="C17" s="140"/>
      <c r="D17" s="140"/>
      <c r="E17" s="140"/>
      <c r="F17" s="140"/>
      <c r="G17" s="140"/>
      <c r="H17" s="140"/>
      <c r="I17" s="141"/>
      <c r="K17" s="10" t="s">
        <v>24</v>
      </c>
      <c r="L17" s="11">
        <f>(L4*M4*T11)/1000000</f>
        <v>2.2593375</v>
      </c>
      <c r="M17" s="4"/>
      <c r="N17" s="4"/>
      <c r="O17" s="78" t="s">
        <v>43</v>
      </c>
      <c r="P17" s="96">
        <f>B8</f>
        <v>750</v>
      </c>
      <c r="Q17" s="96">
        <f>F8</f>
        <v>1057</v>
      </c>
      <c r="R17" s="5"/>
      <c r="S17" s="5"/>
      <c r="T17" s="14"/>
      <c r="U17" s="4"/>
      <c r="V17" s="4"/>
    </row>
    <row r="18" spans="1:22" ht="18" customHeight="1" thickBot="1" x14ac:dyDescent="0.4">
      <c r="A18" s="1" t="s">
        <v>11</v>
      </c>
      <c r="B18" s="142">
        <v>15.9</v>
      </c>
      <c r="C18" s="142"/>
      <c r="D18" s="142"/>
      <c r="E18" s="142"/>
      <c r="F18" s="142"/>
      <c r="G18" s="142"/>
      <c r="H18" s="142"/>
      <c r="I18" s="143"/>
      <c r="K18" s="10" t="s">
        <v>25</v>
      </c>
      <c r="L18" s="11">
        <f>U11</f>
        <v>2.25</v>
      </c>
      <c r="M18" s="4"/>
      <c r="N18" s="4"/>
      <c r="O18" s="136" t="s">
        <v>45</v>
      </c>
      <c r="P18" s="137"/>
      <c r="Q18" s="125" t="s">
        <v>103</v>
      </c>
      <c r="R18" s="126"/>
      <c r="S18" s="29" t="s">
        <v>25</v>
      </c>
      <c r="T18" s="30" t="s">
        <v>26</v>
      </c>
      <c r="U18" s="4"/>
      <c r="V18" s="4"/>
    </row>
    <row r="19" spans="1:22" ht="18.600000000000001" customHeight="1" x14ac:dyDescent="0.35">
      <c r="A19" s="1" t="s">
        <v>12</v>
      </c>
      <c r="B19" s="144">
        <f>B12*G6</f>
        <v>10000</v>
      </c>
      <c r="C19" s="145"/>
      <c r="D19" s="145"/>
      <c r="E19" s="145"/>
      <c r="F19" s="145"/>
      <c r="G19" s="145"/>
      <c r="H19" s="145"/>
      <c r="I19" s="146"/>
      <c r="K19" s="10" t="s">
        <v>26</v>
      </c>
      <c r="L19" s="11">
        <f>V11*L21</f>
        <v>0</v>
      </c>
      <c r="M19" s="4"/>
      <c r="N19" s="4"/>
      <c r="O19" s="59" t="s">
        <v>27</v>
      </c>
      <c r="P19" s="60"/>
      <c r="Q19" s="61" t="s">
        <v>46</v>
      </c>
      <c r="R19" s="58"/>
      <c r="S19" s="74"/>
      <c r="T19" s="75"/>
      <c r="U19" s="4"/>
      <c r="V19" s="4"/>
    </row>
    <row r="20" spans="1:22" ht="18.600000000000001" thickBot="1" x14ac:dyDescent="0.4">
      <c r="A20" s="1" t="s">
        <v>97</v>
      </c>
      <c r="B20" s="138"/>
      <c r="C20" s="138"/>
      <c r="D20" s="138"/>
      <c r="E20" s="138"/>
      <c r="F20" s="138"/>
      <c r="G20" s="138"/>
      <c r="H20" s="138"/>
      <c r="I20" s="139"/>
      <c r="K20" s="94" t="s">
        <v>36</v>
      </c>
      <c r="L20" s="95">
        <f>SUM(L13:L19)</f>
        <v>22.328301250000003</v>
      </c>
      <c r="M20" s="4"/>
      <c r="N20" s="4"/>
      <c r="O20" s="62"/>
      <c r="P20" s="63"/>
      <c r="Q20" s="64"/>
      <c r="R20" s="65"/>
      <c r="S20" s="66"/>
      <c r="T20" s="67"/>
      <c r="U20" s="4"/>
      <c r="V20" s="4"/>
    </row>
    <row r="21" spans="1:22" ht="18" x14ac:dyDescent="0.35">
      <c r="A21" s="1" t="s">
        <v>14</v>
      </c>
      <c r="B21" s="140"/>
      <c r="C21" s="140"/>
      <c r="D21" s="140"/>
      <c r="E21" s="140"/>
      <c r="F21" s="140"/>
      <c r="G21" s="140"/>
      <c r="H21" s="140"/>
      <c r="I21" s="141"/>
      <c r="K21" s="93" t="s">
        <v>37</v>
      </c>
      <c r="L21" s="92">
        <f>G6</f>
        <v>2</v>
      </c>
      <c r="M21" s="4"/>
      <c r="N21" s="4"/>
      <c r="O21" s="62"/>
      <c r="P21" s="63"/>
      <c r="Q21" s="64"/>
      <c r="R21" s="65"/>
      <c r="S21" s="66"/>
      <c r="T21" s="67"/>
      <c r="U21" s="4"/>
      <c r="V21" s="4"/>
    </row>
    <row r="22" spans="1:22" ht="18.600000000000001" thickBot="1" x14ac:dyDescent="0.4">
      <c r="A22" s="2" t="s">
        <v>15</v>
      </c>
      <c r="B22" s="169"/>
      <c r="C22" s="169"/>
      <c r="D22" s="169"/>
      <c r="E22" s="169"/>
      <c r="F22" s="169"/>
      <c r="G22" s="169"/>
      <c r="H22" s="169"/>
      <c r="I22" s="170"/>
      <c r="K22" s="8" t="s">
        <v>38</v>
      </c>
      <c r="L22" s="103">
        <f>P11*L21</f>
        <v>10000</v>
      </c>
      <c r="M22" s="4"/>
      <c r="N22" s="4"/>
      <c r="O22" s="62"/>
      <c r="P22" s="63"/>
      <c r="Q22" s="64"/>
      <c r="R22" s="65"/>
      <c r="S22" s="66"/>
      <c r="T22" s="67"/>
      <c r="U22" s="4"/>
      <c r="V22" s="4"/>
    </row>
    <row r="23" spans="1:22" ht="16.2" thickBot="1" x14ac:dyDescent="0.35">
      <c r="A23" s="135"/>
      <c r="B23" s="135"/>
      <c r="C23" s="135"/>
      <c r="D23" s="135"/>
      <c r="E23" s="135"/>
      <c r="F23" s="135"/>
      <c r="G23" s="135"/>
      <c r="H23" s="135"/>
      <c r="I23" s="135"/>
      <c r="K23" s="83" t="s">
        <v>39</v>
      </c>
      <c r="L23" s="84"/>
      <c r="M23" s="4"/>
      <c r="N23" s="4"/>
      <c r="O23" s="68"/>
      <c r="P23" s="69"/>
      <c r="Q23" s="70"/>
      <c r="R23" s="71">
        <f>SUM(R19:R22)</f>
        <v>0</v>
      </c>
      <c r="S23" s="72">
        <f>SUM(S19:S22)</f>
        <v>0</v>
      </c>
      <c r="T23" s="73">
        <f>SUM(T19:T22)</f>
        <v>0</v>
      </c>
      <c r="U23" s="4"/>
      <c r="V23" s="4"/>
    </row>
    <row r="24" spans="1:22" ht="18.600000000000001" thickBot="1" x14ac:dyDescent="0.35">
      <c r="A24" s="171" t="s">
        <v>16</v>
      </c>
      <c r="B24" s="172"/>
      <c r="C24" s="172"/>
      <c r="D24" s="172"/>
      <c r="E24" s="172"/>
      <c r="F24" s="172"/>
      <c r="G24" s="172"/>
      <c r="H24" s="172"/>
      <c r="I24" s="173"/>
      <c r="K24" s="83" t="s">
        <v>40</v>
      </c>
      <c r="L24" s="84"/>
      <c r="M24" s="4"/>
      <c r="N24" s="4"/>
      <c r="O24" s="123" t="s">
        <v>48</v>
      </c>
      <c r="P24" s="124"/>
      <c r="Q24" s="5"/>
      <c r="R24" s="5"/>
      <c r="S24" s="5"/>
      <c r="T24" s="14"/>
      <c r="U24" s="4"/>
      <c r="V24" s="4"/>
    </row>
    <row r="25" spans="1:22" ht="16.2" thickBot="1" x14ac:dyDescent="0.35">
      <c r="A25" s="174" t="s">
        <v>174</v>
      </c>
      <c r="B25" s="175"/>
      <c r="C25" s="175"/>
      <c r="D25" s="175"/>
      <c r="E25" s="175"/>
      <c r="F25" s="175"/>
      <c r="G25" s="175"/>
      <c r="H25" s="175"/>
      <c r="I25" s="176"/>
      <c r="K25" s="85" t="s">
        <v>106</v>
      </c>
      <c r="L25" s="86">
        <f>(L20/L21)+((L23+L24)/L22)</f>
        <v>11.164150625000001</v>
      </c>
      <c r="M25" s="4"/>
      <c r="N25" s="4"/>
      <c r="O25" s="8" t="s">
        <v>42</v>
      </c>
      <c r="P25" s="9">
        <f>(P17*Q17*P19)/1000000</f>
        <v>0</v>
      </c>
      <c r="Q25" s="5"/>
      <c r="R25" s="5"/>
      <c r="S25" s="5"/>
      <c r="T25" s="14"/>
      <c r="U25" s="4"/>
      <c r="V25" s="4"/>
    </row>
    <row r="26" spans="1:22" ht="16.2" thickBot="1" x14ac:dyDescent="0.35">
      <c r="A26" s="174"/>
      <c r="B26" s="175"/>
      <c r="C26" s="175"/>
      <c r="D26" s="175"/>
      <c r="E26" s="175"/>
      <c r="F26" s="175"/>
      <c r="G26" s="175"/>
      <c r="H26" s="175"/>
      <c r="I26" s="176"/>
      <c r="K26" s="100" t="s">
        <v>41</v>
      </c>
      <c r="L26" s="101">
        <v>0.35</v>
      </c>
      <c r="M26" s="4"/>
      <c r="N26" s="4"/>
      <c r="O26" s="10" t="s">
        <v>22</v>
      </c>
      <c r="P26" s="11">
        <f>R23</f>
        <v>0</v>
      </c>
      <c r="Q26" s="5"/>
      <c r="R26" s="5"/>
      <c r="S26" s="5"/>
      <c r="T26" s="14"/>
      <c r="U26" s="4"/>
      <c r="V26" s="4"/>
    </row>
    <row r="27" spans="1:22" ht="16.2" thickBot="1" x14ac:dyDescent="0.35">
      <c r="A27" s="163"/>
      <c r="B27" s="164"/>
      <c r="C27" s="164"/>
      <c r="D27" s="164"/>
      <c r="E27" s="164"/>
      <c r="F27" s="164"/>
      <c r="G27" s="164"/>
      <c r="H27" s="164"/>
      <c r="I27" s="165"/>
      <c r="K27" s="6"/>
      <c r="L27" s="6"/>
      <c r="M27" s="4"/>
      <c r="N27" s="4"/>
      <c r="O27" s="10" t="s">
        <v>25</v>
      </c>
      <c r="P27" s="11">
        <f>S23</f>
        <v>0</v>
      </c>
      <c r="Q27" s="5"/>
      <c r="R27" s="5"/>
      <c r="S27" s="5"/>
      <c r="T27" s="14"/>
      <c r="U27" s="4"/>
      <c r="V27" s="4"/>
    </row>
    <row r="28" spans="1:22" ht="16.2" thickBot="1" x14ac:dyDescent="0.35">
      <c r="A28" s="163"/>
      <c r="B28" s="164"/>
      <c r="C28" s="164"/>
      <c r="D28" s="164"/>
      <c r="E28" s="164"/>
      <c r="F28" s="164"/>
      <c r="G28" s="164"/>
      <c r="H28" s="164"/>
      <c r="I28" s="165"/>
      <c r="K28" s="12" t="s">
        <v>36</v>
      </c>
      <c r="L28" s="12">
        <f>(L25*L26)+L25</f>
        <v>15.071603343750002</v>
      </c>
      <c r="M28" s="4"/>
      <c r="N28" s="4"/>
      <c r="O28" s="10" t="s">
        <v>26</v>
      </c>
      <c r="P28" s="11">
        <f>T23*P30</f>
        <v>0</v>
      </c>
      <c r="Q28" s="5"/>
      <c r="R28" s="5"/>
      <c r="S28" s="5"/>
      <c r="T28" s="14"/>
      <c r="U28" s="4"/>
      <c r="V28" s="4"/>
    </row>
    <row r="29" spans="1:22" ht="16.2" thickBot="1" x14ac:dyDescent="0.35">
      <c r="A29" s="163"/>
      <c r="B29" s="164"/>
      <c r="C29" s="164"/>
      <c r="D29" s="164"/>
      <c r="E29" s="164"/>
      <c r="F29" s="164"/>
      <c r="G29" s="164"/>
      <c r="H29" s="164"/>
      <c r="I29" s="165"/>
      <c r="M29" s="4"/>
      <c r="N29" s="4"/>
      <c r="O29" s="94" t="s">
        <v>36</v>
      </c>
      <c r="P29" s="95">
        <f>SUM(P25:P28)</f>
        <v>0</v>
      </c>
      <c r="Q29" s="5"/>
      <c r="R29" s="5"/>
      <c r="S29" s="5"/>
      <c r="T29" s="14"/>
      <c r="U29" s="4"/>
      <c r="V29" s="4"/>
    </row>
    <row r="30" spans="1:22" x14ac:dyDescent="0.3">
      <c r="A30" s="163"/>
      <c r="B30" s="164"/>
      <c r="C30" s="164"/>
      <c r="D30" s="164"/>
      <c r="E30" s="164"/>
      <c r="F30" s="164"/>
      <c r="G30" s="164"/>
      <c r="H30" s="164"/>
      <c r="I30" s="165"/>
      <c r="M30" s="4"/>
      <c r="N30" s="4"/>
      <c r="O30" s="97" t="s">
        <v>37</v>
      </c>
      <c r="P30" s="98">
        <f>G6</f>
        <v>2</v>
      </c>
      <c r="Q30" s="5"/>
      <c r="R30" s="5"/>
      <c r="S30" s="5"/>
      <c r="T30" s="14"/>
      <c r="U30" s="4"/>
      <c r="V30" s="4"/>
    </row>
    <row r="31" spans="1:22" x14ac:dyDescent="0.3">
      <c r="A31" s="163"/>
      <c r="B31" s="164"/>
      <c r="C31" s="164"/>
      <c r="D31" s="164"/>
      <c r="E31" s="164"/>
      <c r="F31" s="164"/>
      <c r="G31" s="164"/>
      <c r="H31" s="164"/>
      <c r="I31" s="165"/>
      <c r="O31" s="97" t="s">
        <v>38</v>
      </c>
      <c r="P31" s="99">
        <f>B19</f>
        <v>10000</v>
      </c>
      <c r="Q31" s="5"/>
      <c r="R31" s="5"/>
      <c r="S31" s="5"/>
      <c r="T31" s="14"/>
    </row>
    <row r="32" spans="1:22" ht="15" thickBot="1" x14ac:dyDescent="0.35">
      <c r="A32" s="166"/>
      <c r="B32" s="167"/>
      <c r="C32" s="167"/>
      <c r="D32" s="167"/>
      <c r="E32" s="167"/>
      <c r="F32" s="167"/>
      <c r="G32" s="167"/>
      <c r="H32" s="167"/>
      <c r="I32" s="168"/>
      <c r="O32" s="3" t="s">
        <v>39</v>
      </c>
      <c r="P32" s="13"/>
      <c r="Q32" s="5"/>
      <c r="R32" s="5"/>
      <c r="S32" s="5"/>
      <c r="T32" s="14"/>
    </row>
    <row r="33" spans="15:20" x14ac:dyDescent="0.3">
      <c r="O33" s="3" t="s">
        <v>40</v>
      </c>
      <c r="P33" s="13"/>
      <c r="Q33" s="5"/>
      <c r="R33" s="5"/>
      <c r="S33" s="5"/>
      <c r="T33" s="14"/>
    </row>
    <row r="34" spans="15:20" ht="15" thickBot="1" x14ac:dyDescent="0.35">
      <c r="O34" s="81" t="s">
        <v>106</v>
      </c>
      <c r="P34" s="82">
        <f>(P29/P30)+((P32+P33)/P31)</f>
        <v>0</v>
      </c>
      <c r="Q34" s="5"/>
      <c r="R34" s="5"/>
      <c r="S34" s="5"/>
      <c r="T34" s="14"/>
    </row>
    <row r="35" spans="15:20" ht="16.2" thickBot="1" x14ac:dyDescent="0.35">
      <c r="O35" s="100" t="s">
        <v>41</v>
      </c>
      <c r="P35" s="102"/>
      <c r="Q35" s="5"/>
      <c r="R35" s="5"/>
      <c r="S35" s="5"/>
      <c r="T35" s="14"/>
    </row>
    <row r="36" spans="15:20" ht="16.2" thickBot="1" x14ac:dyDescent="0.35">
      <c r="O36" s="15"/>
      <c r="P36" s="16"/>
      <c r="Q36" s="5"/>
      <c r="R36" s="5"/>
      <c r="S36" s="5"/>
      <c r="T36" s="14"/>
    </row>
    <row r="37" spans="15:20" ht="16.2" thickBot="1" x14ac:dyDescent="0.35">
      <c r="O37" s="12" t="s">
        <v>36</v>
      </c>
      <c r="P37" s="12">
        <f>(P34*P35)+P34</f>
        <v>0</v>
      </c>
      <c r="Q37" s="17"/>
      <c r="R37" s="17"/>
      <c r="S37" s="17"/>
      <c r="T37" s="18"/>
    </row>
  </sheetData>
  <mergeCells count="51">
    <mergeCell ref="K1:V2"/>
    <mergeCell ref="N3:V4"/>
    <mergeCell ref="K5:L5"/>
    <mergeCell ref="B7:E7"/>
    <mergeCell ref="F7:I7"/>
    <mergeCell ref="O5:P5"/>
    <mergeCell ref="Q5:R5"/>
    <mergeCell ref="S5:T5"/>
    <mergeCell ref="A1:I3"/>
    <mergeCell ref="B4:I4"/>
    <mergeCell ref="B5:I5"/>
    <mergeCell ref="B6:D6"/>
    <mergeCell ref="A7:A8"/>
    <mergeCell ref="A29:I29"/>
    <mergeCell ref="A30:I30"/>
    <mergeCell ref="A31:I31"/>
    <mergeCell ref="A32:I32"/>
    <mergeCell ref="B21:I21"/>
    <mergeCell ref="B22:I22"/>
    <mergeCell ref="A24:I24"/>
    <mergeCell ref="A25:I25"/>
    <mergeCell ref="A26:I26"/>
    <mergeCell ref="A27:I27"/>
    <mergeCell ref="A28:I28"/>
    <mergeCell ref="D14:E14"/>
    <mergeCell ref="F14:G14"/>
    <mergeCell ref="H14:I14"/>
    <mergeCell ref="M5:N5"/>
    <mergeCell ref="E6:F6"/>
    <mergeCell ref="G6:I6"/>
    <mergeCell ref="B11:I11"/>
    <mergeCell ref="B10:I10"/>
    <mergeCell ref="B9:I9"/>
    <mergeCell ref="B8:E8"/>
    <mergeCell ref="F8:I8"/>
    <mergeCell ref="O24:P24"/>
    <mergeCell ref="Q18:R18"/>
    <mergeCell ref="O14:T15"/>
    <mergeCell ref="K12:L12"/>
    <mergeCell ref="A23:I23"/>
    <mergeCell ref="O18:P18"/>
    <mergeCell ref="B15:E15"/>
    <mergeCell ref="F15:I15"/>
    <mergeCell ref="B17:I17"/>
    <mergeCell ref="B18:I18"/>
    <mergeCell ref="B19:I19"/>
    <mergeCell ref="B20:I20"/>
    <mergeCell ref="B16:I16"/>
    <mergeCell ref="B12:I12"/>
    <mergeCell ref="B13:I13"/>
    <mergeCell ref="B14:C14"/>
  </mergeCells>
  <pageMargins left="0.7" right="0.7" top="0.75" bottom="0.75" header="0.3" footer="0.3"/>
  <pageSetup paperSize="9" scale="42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'SİPARİŞ VERİ DOSYASI'!$P$2:$P$7</xm:f>
          </x14:formula1>
          <xm:sqref>B22:I22</xm:sqref>
        </x14:dataValidation>
        <x14:dataValidation type="list" allowBlank="1" showInputMessage="1" showErrorMessage="1">
          <x14:formula1>
            <xm:f>'SİPARİŞ VERİ DOSYASI'!$O$2:$O$5</xm:f>
          </x14:formula1>
          <xm:sqref>B20:I20</xm:sqref>
        </x14:dataValidation>
        <x14:dataValidation type="list" allowBlank="1" showInputMessage="1" showErrorMessage="1">
          <x14:formula1>
            <xm:f>'SİPARİŞ VERİ DOSYASI'!$M$2:$M$8</xm:f>
          </x14:formula1>
          <xm:sqref>F15:I15</xm:sqref>
        </x14:dataValidation>
        <x14:dataValidation type="list" allowBlank="1" showInputMessage="1" showErrorMessage="1">
          <x14:formula1>
            <xm:f>'SİPARİŞ VERİ DOSYASI'!$J$2:$J$5</xm:f>
          </x14:formula1>
          <xm:sqref>B13:I13</xm:sqref>
        </x14:dataValidation>
        <x14:dataValidation type="list" allowBlank="1" showInputMessage="1" showErrorMessage="1">
          <x14:formula1>
            <xm:f>'SİPARİŞ VERİ DOSYASI'!$A$2:$A$6</xm:f>
          </x14:formula1>
          <xm:sqref>B9:I9</xm:sqref>
        </x14:dataValidation>
        <x14:dataValidation type="list" allowBlank="1" showInputMessage="1" showErrorMessage="1">
          <x14:formula1>
            <xm:f>'SİPARİŞ VERİ DOSYASI'!$I$2:$I$41</xm:f>
          </x14:formula1>
          <xm:sqref>B11:I11</xm:sqref>
        </x14:dataValidation>
        <x14:dataValidation type="list" allowBlank="1" showInputMessage="1" showErrorMessage="1">
          <x14:formula1>
            <xm:f>'SİPARİŞ VERİ DOSYASI'!$N$2:$N$4</xm:f>
          </x14:formula1>
          <xm:sqref>B16:I16</xm:sqref>
        </x14:dataValidation>
        <x14:dataValidation type="list" allowBlank="1" showInputMessage="1" showErrorMessage="1">
          <x14:formula1>
            <xm:f>'SİPARİŞ VERİ DOSYASI'!$B$2:$B$12</xm:f>
          </x14:formula1>
          <xm:sqref>L7</xm:sqref>
        </x14:dataValidation>
        <x14:dataValidation type="list" allowBlank="1" showInputMessage="1" showErrorMessage="1">
          <x14:formula1>
            <xm:f>'HESAPLAMA VERİ DOSYASI'!$B$3:$B$6</xm:f>
          </x14:formula1>
          <xm:sqref>P6</xm:sqref>
        </x14:dataValidation>
        <x14:dataValidation type="list" allowBlank="1" showInputMessage="1" showErrorMessage="1">
          <x14:formula1>
            <xm:f>'HESAPLAMA VERİ DOSYASI'!$C$3:$C$8</xm:f>
          </x14:formula1>
          <xm:sqref>P7</xm:sqref>
        </x14:dataValidation>
        <x14:dataValidation type="list" allowBlank="1" showInputMessage="1" showErrorMessage="1">
          <x14:formula1>
            <xm:f>'HESAPLAMA VERİ DOSYASI'!$D$3:$D$7</xm:f>
          </x14:formula1>
          <xm:sqref>P9</xm:sqref>
        </x14:dataValidation>
        <x14:dataValidation type="list" allowBlank="1" showInputMessage="1" showErrorMessage="1">
          <x14:formula1>
            <xm:f>'HESAPLAMA VERİ DOSYASI'!$F$3:$F$4</xm:f>
          </x14:formula1>
          <xm:sqref>T6</xm:sqref>
        </x14:dataValidation>
        <x14:dataValidation type="list" allowBlank="1" showInputMessage="1" showErrorMessage="1">
          <x14:formula1>
            <xm:f>'HESAPLAMA VERİ DOSYASI'!$G$3:$G$4</xm:f>
          </x14:formula1>
          <xm:sqref>U6</xm:sqref>
        </x14:dataValidation>
        <x14:dataValidation type="list" allowBlank="1" showInputMessage="1" showErrorMessage="1">
          <x14:formula1>
            <xm:f>'HESAPLAMA VERİ DOSYASI'!$H$3:$H$6</xm:f>
          </x14:formula1>
          <xm:sqref>V6</xm:sqref>
        </x14:dataValidation>
        <x14:dataValidation type="list" allowBlank="1" showInputMessage="1" showErrorMessage="1">
          <x14:formula1>
            <xm:f>'HESAPLAMA VERİ DOSYASI'!$J$3:$J$5</xm:f>
          </x14:formula1>
          <xm:sqref>R19</xm:sqref>
        </x14:dataValidation>
        <x14:dataValidation type="list" allowBlank="1" showInputMessage="1" showErrorMessage="1">
          <x14:formula1>
            <xm:f>'HESAPLAMA VERİ DOSYASI'!$K$3:$K$4</xm:f>
          </x14:formula1>
          <xm:sqref>S19</xm:sqref>
        </x14:dataValidation>
        <x14:dataValidation type="list" allowBlank="1" showInputMessage="1" showErrorMessage="1">
          <x14:formula1>
            <xm:f>'HESAPLAMA VERİ DOSYASI'!$L$3:$L$6</xm:f>
          </x14:formula1>
          <xm:sqref>T19</xm:sqref>
        </x14:dataValidation>
        <x14:dataValidation type="list" allowBlank="1" showInputMessage="1" showErrorMessage="1">
          <x14:formula1>
            <xm:f>'HESAPLAMA VERİ DOSYASI'!$E$3:$E$8</xm:f>
          </x14:formula1>
          <xm:sqref>R6</xm:sqref>
        </x14:dataValidation>
        <x14:dataValidation type="list" allowBlank="1" showInputMessage="1" showErrorMessage="1">
          <x14:formula1>
            <xm:f>'SİPARİŞ VERİ DOSYASI'!$L$3:$L$7</xm:f>
          </x14:formula1>
          <xm:sqref>B15:E15</xm:sqref>
        </x14:dataValidation>
        <x14:dataValidation type="list" allowBlank="1" showInputMessage="1" showErrorMessage="1">
          <x14:formula1>
            <xm:f>'SİPARİŞ VERİ DOSYASI'!$K$2:$K$22</xm:f>
          </x14:formula1>
          <xm:sqref>H14:I14</xm:sqref>
        </x14:dataValidation>
        <x14:dataValidation type="list" allowBlank="1" showInputMessage="1" showErrorMessage="1">
          <x14:formula1>
            <xm:f>'SİPARİŞ VERİ DOSYASI'!$K$2:$K$22</xm:f>
          </x14:formula1>
          <xm:sqref>B14:C14 D14:E14 F14:G14</xm:sqref>
        </x14:dataValidation>
        <x14:dataValidation type="list" allowBlank="1" showInputMessage="1" showErrorMessage="1">
          <x14:formula1>
            <xm:f>'SİPARİŞ VERİ DOSYASI'!$B$2:$B$12</xm:f>
          </x14:formula1>
          <xm:sqref>B10:I10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workbookViewId="0">
      <selection activeCell="B13" sqref="B13"/>
    </sheetView>
  </sheetViews>
  <sheetFormatPr defaultRowHeight="14.4" x14ac:dyDescent="0.3"/>
  <cols>
    <col min="1" max="1" width="16.33203125" bestFit="1" customWidth="1"/>
    <col min="2" max="2" width="12" bestFit="1" customWidth="1"/>
    <col min="3" max="3" width="3.109375" hidden="1" customWidth="1"/>
    <col min="4" max="4" width="6.6640625" hidden="1" customWidth="1"/>
    <col min="5" max="5" width="4.88671875" hidden="1" customWidth="1"/>
    <col min="6" max="6" width="6.6640625" hidden="1" customWidth="1"/>
    <col min="7" max="7" width="4.88671875" hidden="1" customWidth="1"/>
    <col min="8" max="8" width="6.6640625" hidden="1" customWidth="1"/>
    <col min="9" max="9" width="32.5546875" style="108" bestFit="1" customWidth="1"/>
    <col min="10" max="10" width="13.6640625" bestFit="1" customWidth="1"/>
    <col min="11" max="11" width="14.109375" bestFit="1" customWidth="1"/>
    <col min="12" max="12" width="16" bestFit="1" customWidth="1"/>
    <col min="13" max="13" width="22.77734375" bestFit="1" customWidth="1"/>
    <col min="14" max="14" width="11.5546875" bestFit="1" customWidth="1"/>
    <col min="15" max="15" width="24.33203125" bestFit="1" customWidth="1"/>
    <col min="16" max="16" width="31.109375" customWidth="1"/>
  </cols>
  <sheetData>
    <row r="1" spans="1:16" ht="18" x14ac:dyDescent="0.35">
      <c r="A1" s="19" t="s">
        <v>49</v>
      </c>
      <c r="B1" s="19" t="s">
        <v>30</v>
      </c>
      <c r="C1" s="19"/>
      <c r="D1" s="19"/>
      <c r="E1" s="19"/>
      <c r="F1" s="19"/>
      <c r="G1" s="19"/>
      <c r="H1" s="19"/>
      <c r="I1" s="19" t="s">
        <v>50</v>
      </c>
      <c r="J1" s="19" t="s">
        <v>51</v>
      </c>
      <c r="K1" s="19" t="s">
        <v>8</v>
      </c>
      <c r="L1" s="160" t="s">
        <v>9</v>
      </c>
      <c r="M1" s="160"/>
      <c r="N1" s="20" t="s">
        <v>98</v>
      </c>
      <c r="O1" s="19" t="s">
        <v>13</v>
      </c>
      <c r="P1" s="19" t="s">
        <v>52</v>
      </c>
    </row>
    <row r="2" spans="1:16" x14ac:dyDescent="0.3">
      <c r="A2" s="21" t="s">
        <v>53</v>
      </c>
      <c r="B2" s="21" t="s">
        <v>54</v>
      </c>
      <c r="C2" s="21"/>
      <c r="D2" s="21"/>
      <c r="E2" s="21"/>
      <c r="F2" s="21"/>
      <c r="G2" s="21"/>
      <c r="H2" s="21"/>
      <c r="I2" s="21" t="s">
        <v>55</v>
      </c>
      <c r="J2" s="21" t="s">
        <v>56</v>
      </c>
      <c r="K2" s="21" t="s">
        <v>56</v>
      </c>
      <c r="L2" s="22" t="s">
        <v>57</v>
      </c>
      <c r="M2" s="22" t="s">
        <v>57</v>
      </c>
      <c r="N2" s="23" t="s">
        <v>105</v>
      </c>
      <c r="O2" s="21" t="s">
        <v>58</v>
      </c>
      <c r="P2" s="21" t="s">
        <v>59</v>
      </c>
    </row>
    <row r="3" spans="1:16" x14ac:dyDescent="0.3">
      <c r="A3" s="21" t="s">
        <v>60</v>
      </c>
      <c r="B3" s="104">
        <v>160</v>
      </c>
      <c r="C3" s="106" t="s">
        <v>107</v>
      </c>
      <c r="D3" s="106" t="s">
        <v>108</v>
      </c>
      <c r="E3" s="106" t="s">
        <v>109</v>
      </c>
      <c r="F3" s="106" t="s">
        <v>110</v>
      </c>
      <c r="G3" s="107"/>
      <c r="H3" s="107"/>
      <c r="I3" s="21" t="s">
        <v>111</v>
      </c>
      <c r="J3" s="105" t="s">
        <v>61</v>
      </c>
      <c r="K3" s="21" t="s">
        <v>62</v>
      </c>
      <c r="L3" s="21" t="s">
        <v>63</v>
      </c>
      <c r="M3" s="21" t="s">
        <v>64</v>
      </c>
      <c r="N3" s="23" t="s">
        <v>26</v>
      </c>
      <c r="O3" s="21" t="s">
        <v>65</v>
      </c>
      <c r="P3" s="21" t="s">
        <v>66</v>
      </c>
    </row>
    <row r="4" spans="1:16" x14ac:dyDescent="0.3">
      <c r="A4" s="21" t="s">
        <v>67</v>
      </c>
      <c r="B4" s="104">
        <v>180</v>
      </c>
      <c r="C4" s="106" t="s">
        <v>107</v>
      </c>
      <c r="D4" s="106" t="s">
        <v>108</v>
      </c>
      <c r="E4" s="106" t="s">
        <v>112</v>
      </c>
      <c r="F4" s="106" t="s">
        <v>113</v>
      </c>
      <c r="G4" s="107"/>
      <c r="H4" s="107"/>
      <c r="I4" s="21" t="s">
        <v>114</v>
      </c>
      <c r="J4" s="105" t="s">
        <v>68</v>
      </c>
      <c r="K4" s="21" t="s">
        <v>69</v>
      </c>
      <c r="L4" s="21" t="s">
        <v>70</v>
      </c>
      <c r="M4" s="21" t="s">
        <v>71</v>
      </c>
      <c r="N4" s="23" t="s">
        <v>99</v>
      </c>
      <c r="O4" s="21" t="s">
        <v>72</v>
      </c>
      <c r="P4" s="21" t="s">
        <v>73</v>
      </c>
    </row>
    <row r="5" spans="1:16" x14ac:dyDescent="0.3">
      <c r="A5" s="21" t="s">
        <v>74</v>
      </c>
      <c r="B5" s="104">
        <v>200</v>
      </c>
      <c r="C5" s="106" t="s">
        <v>107</v>
      </c>
      <c r="D5" s="106" t="s">
        <v>108</v>
      </c>
      <c r="E5" s="106" t="s">
        <v>112</v>
      </c>
      <c r="F5" s="106" t="s">
        <v>110</v>
      </c>
      <c r="G5" s="107"/>
      <c r="H5" s="107"/>
      <c r="I5" s="21" t="s">
        <v>115</v>
      </c>
      <c r="J5" s="105" t="s">
        <v>75</v>
      </c>
      <c r="K5" s="21" t="s">
        <v>76</v>
      </c>
      <c r="L5" s="21" t="s">
        <v>77</v>
      </c>
      <c r="M5" s="21" t="s">
        <v>78</v>
      </c>
      <c r="N5" s="21"/>
      <c r="O5" s="21" t="s">
        <v>79</v>
      </c>
      <c r="P5" s="21" t="s">
        <v>80</v>
      </c>
    </row>
    <row r="6" spans="1:16" x14ac:dyDescent="0.3">
      <c r="A6" s="21" t="s">
        <v>81</v>
      </c>
      <c r="B6" s="104">
        <v>210</v>
      </c>
      <c r="C6" s="106" t="s">
        <v>107</v>
      </c>
      <c r="D6" s="106" t="s">
        <v>116</v>
      </c>
      <c r="E6" s="106" t="s">
        <v>109</v>
      </c>
      <c r="F6" s="106" t="s">
        <v>110</v>
      </c>
      <c r="G6" s="107"/>
      <c r="H6" s="107"/>
      <c r="I6" s="21" t="s">
        <v>117</v>
      </c>
      <c r="J6" s="105"/>
      <c r="K6" s="21" t="s">
        <v>82</v>
      </c>
      <c r="L6" s="21" t="s">
        <v>83</v>
      </c>
      <c r="M6" s="21" t="s">
        <v>84</v>
      </c>
      <c r="N6" s="21"/>
      <c r="O6" s="21"/>
      <c r="P6" s="21" t="s">
        <v>85</v>
      </c>
    </row>
    <row r="7" spans="1:16" x14ac:dyDescent="0.3">
      <c r="A7" s="21"/>
      <c r="B7" s="104">
        <v>230</v>
      </c>
      <c r="C7" s="106" t="s">
        <v>107</v>
      </c>
      <c r="D7" s="106" t="s">
        <v>116</v>
      </c>
      <c r="E7" s="106" t="s">
        <v>112</v>
      </c>
      <c r="F7" s="106" t="s">
        <v>116</v>
      </c>
      <c r="G7" s="107"/>
      <c r="H7" s="107"/>
      <c r="I7" s="21" t="s">
        <v>118</v>
      </c>
      <c r="J7" s="105"/>
      <c r="K7" s="21" t="s">
        <v>163</v>
      </c>
      <c r="L7" s="21" t="s">
        <v>87</v>
      </c>
      <c r="M7" s="21" t="s">
        <v>88</v>
      </c>
      <c r="N7" s="21"/>
      <c r="O7" s="21"/>
      <c r="P7" s="21" t="s">
        <v>89</v>
      </c>
    </row>
    <row r="8" spans="1:16" x14ac:dyDescent="0.3">
      <c r="A8" s="21"/>
      <c r="B8" s="104">
        <v>250</v>
      </c>
      <c r="C8" s="106" t="s">
        <v>107</v>
      </c>
      <c r="D8" s="106" t="s">
        <v>113</v>
      </c>
      <c r="E8" s="106" t="s">
        <v>112</v>
      </c>
      <c r="F8" s="106" t="s">
        <v>113</v>
      </c>
      <c r="G8" s="107"/>
      <c r="H8" s="107"/>
      <c r="I8" s="21" t="s">
        <v>119</v>
      </c>
      <c r="J8" s="105"/>
      <c r="K8" s="21" t="s">
        <v>164</v>
      </c>
      <c r="L8" s="21"/>
      <c r="M8" s="21" t="s">
        <v>91</v>
      </c>
      <c r="N8" s="21"/>
      <c r="O8" s="21"/>
      <c r="P8" s="21"/>
    </row>
    <row r="9" spans="1:16" x14ac:dyDescent="0.3">
      <c r="A9" s="21"/>
      <c r="B9" s="104">
        <v>300</v>
      </c>
      <c r="C9" s="106" t="s">
        <v>107</v>
      </c>
      <c r="D9" s="106" t="s">
        <v>110</v>
      </c>
      <c r="E9" s="106" t="s">
        <v>109</v>
      </c>
      <c r="F9" s="106" t="s">
        <v>110</v>
      </c>
      <c r="G9" s="107"/>
      <c r="H9" s="107"/>
      <c r="I9" s="21" t="s">
        <v>120</v>
      </c>
      <c r="J9" s="105"/>
      <c r="K9" s="21" t="s">
        <v>86</v>
      </c>
      <c r="L9" s="21"/>
      <c r="M9" s="21"/>
      <c r="N9" s="21"/>
      <c r="O9" s="21"/>
      <c r="P9" s="21"/>
    </row>
    <row r="10" spans="1:16" x14ac:dyDescent="0.3">
      <c r="A10" s="21"/>
      <c r="B10" s="104">
        <v>350</v>
      </c>
      <c r="C10" s="106" t="s">
        <v>121</v>
      </c>
      <c r="D10" s="106" t="s">
        <v>108</v>
      </c>
      <c r="E10" s="106" t="s">
        <v>112</v>
      </c>
      <c r="F10" s="106" t="s">
        <v>110</v>
      </c>
      <c r="G10" s="107"/>
      <c r="H10" s="107"/>
      <c r="I10" s="21" t="s">
        <v>122</v>
      </c>
      <c r="J10" s="105"/>
      <c r="K10" s="21" t="s">
        <v>90</v>
      </c>
      <c r="L10" s="21"/>
      <c r="M10" s="21"/>
      <c r="N10" s="21"/>
      <c r="O10" s="21"/>
      <c r="P10" s="21"/>
    </row>
    <row r="11" spans="1:16" x14ac:dyDescent="0.3">
      <c r="A11" s="21"/>
      <c r="B11" s="104">
        <v>400</v>
      </c>
      <c r="C11" s="106" t="s">
        <v>121</v>
      </c>
      <c r="D11" s="106" t="s">
        <v>123</v>
      </c>
      <c r="E11" s="106" t="s">
        <v>109</v>
      </c>
      <c r="F11" s="106" t="s">
        <v>110</v>
      </c>
      <c r="G11" s="107"/>
      <c r="H11" s="107"/>
      <c r="I11" s="21" t="s">
        <v>124</v>
      </c>
      <c r="J11" s="105"/>
      <c r="K11" s="21" t="s">
        <v>92</v>
      </c>
      <c r="L11" s="21"/>
      <c r="M11" s="21"/>
      <c r="N11" s="21"/>
      <c r="O11" s="21"/>
      <c r="P11" s="21"/>
    </row>
    <row r="12" spans="1:16" x14ac:dyDescent="0.3">
      <c r="A12" s="21"/>
      <c r="B12" s="104">
        <v>450</v>
      </c>
      <c r="C12" s="106" t="s">
        <v>121</v>
      </c>
      <c r="D12" s="106" t="s">
        <v>125</v>
      </c>
      <c r="E12" s="106" t="s">
        <v>112</v>
      </c>
      <c r="F12" s="106" t="s">
        <v>116</v>
      </c>
      <c r="G12" s="107"/>
      <c r="H12" s="107"/>
      <c r="I12" s="21" t="s">
        <v>126</v>
      </c>
      <c r="J12" s="105"/>
      <c r="K12" s="21" t="s">
        <v>168</v>
      </c>
      <c r="L12" s="21"/>
      <c r="M12" s="21"/>
      <c r="N12" s="21"/>
      <c r="O12" s="21"/>
      <c r="P12" s="21"/>
    </row>
    <row r="13" spans="1:16" x14ac:dyDescent="0.3">
      <c r="A13" s="21"/>
      <c r="B13" s="104"/>
      <c r="C13" s="106" t="s">
        <v>121</v>
      </c>
      <c r="D13" s="106" t="s">
        <v>127</v>
      </c>
      <c r="E13" s="106" t="s">
        <v>112</v>
      </c>
      <c r="F13" s="106" t="s">
        <v>113</v>
      </c>
      <c r="G13" s="107"/>
      <c r="H13" s="107"/>
      <c r="I13" s="21" t="s">
        <v>128</v>
      </c>
      <c r="J13" s="105"/>
      <c r="K13" s="21" t="s">
        <v>169</v>
      </c>
      <c r="L13" s="21"/>
      <c r="M13" s="21"/>
      <c r="N13" s="21"/>
      <c r="O13" s="21"/>
      <c r="P13" s="21"/>
    </row>
    <row r="14" spans="1:16" x14ac:dyDescent="0.3">
      <c r="A14" s="21"/>
      <c r="B14" s="104"/>
      <c r="C14" s="106" t="s">
        <v>121</v>
      </c>
      <c r="D14" s="106" t="s">
        <v>116</v>
      </c>
      <c r="E14" s="106" t="s">
        <v>109</v>
      </c>
      <c r="F14" s="106" t="s">
        <v>110</v>
      </c>
      <c r="G14" s="107"/>
      <c r="H14" s="107"/>
      <c r="I14" s="21" t="s">
        <v>129</v>
      </c>
      <c r="J14" s="105"/>
      <c r="K14" s="21" t="s">
        <v>93</v>
      </c>
      <c r="L14" s="21"/>
      <c r="M14" s="21"/>
      <c r="N14" s="21"/>
      <c r="O14" s="21"/>
      <c r="P14" s="21"/>
    </row>
    <row r="15" spans="1:16" x14ac:dyDescent="0.3">
      <c r="A15" s="21"/>
      <c r="B15" s="104"/>
      <c r="C15" s="106" t="s">
        <v>121</v>
      </c>
      <c r="D15" s="106" t="s">
        <v>116</v>
      </c>
      <c r="E15" s="106" t="s">
        <v>130</v>
      </c>
      <c r="F15" s="106" t="s">
        <v>116</v>
      </c>
      <c r="G15" s="107"/>
      <c r="H15" s="107"/>
      <c r="I15" s="21" t="s">
        <v>131</v>
      </c>
      <c r="J15" s="105"/>
      <c r="K15" s="21" t="s">
        <v>94</v>
      </c>
      <c r="L15" s="21"/>
      <c r="M15" s="21"/>
      <c r="N15" s="21"/>
      <c r="O15" s="21"/>
      <c r="P15" s="21"/>
    </row>
    <row r="16" spans="1:16" x14ac:dyDescent="0.3">
      <c r="A16" s="21"/>
      <c r="B16" s="104"/>
      <c r="C16" s="106" t="s">
        <v>121</v>
      </c>
      <c r="D16" s="106" t="s">
        <v>116</v>
      </c>
      <c r="E16" s="106" t="s">
        <v>112</v>
      </c>
      <c r="F16" s="106" t="s">
        <v>116</v>
      </c>
      <c r="G16" s="107"/>
      <c r="H16" s="107"/>
      <c r="I16" s="21" t="s">
        <v>132</v>
      </c>
      <c r="J16" s="105"/>
      <c r="K16" s="21" t="s">
        <v>95</v>
      </c>
      <c r="L16" s="21"/>
      <c r="M16" s="21"/>
      <c r="N16" s="21"/>
      <c r="O16" s="21"/>
      <c r="P16" s="21"/>
    </row>
    <row r="17" spans="1:16" x14ac:dyDescent="0.3">
      <c r="A17" s="21"/>
      <c r="B17" s="104"/>
      <c r="C17" s="106" t="s">
        <v>121</v>
      </c>
      <c r="D17" s="106" t="s">
        <v>116</v>
      </c>
      <c r="E17" s="106" t="s">
        <v>133</v>
      </c>
      <c r="F17" s="106" t="s">
        <v>116</v>
      </c>
      <c r="G17" s="107"/>
      <c r="H17" s="107"/>
      <c r="I17" s="21" t="s">
        <v>134</v>
      </c>
      <c r="J17" s="105"/>
      <c r="K17" s="21" t="s">
        <v>162</v>
      </c>
      <c r="L17" s="21"/>
      <c r="M17" s="21"/>
      <c r="N17" s="21"/>
      <c r="O17" s="21"/>
      <c r="P17" s="21"/>
    </row>
    <row r="18" spans="1:16" x14ac:dyDescent="0.3">
      <c r="A18" s="21"/>
      <c r="B18" s="104"/>
      <c r="C18" s="106" t="s">
        <v>121</v>
      </c>
      <c r="D18" s="106" t="s">
        <v>113</v>
      </c>
      <c r="E18" s="106" t="s">
        <v>112</v>
      </c>
      <c r="F18" s="106" t="s">
        <v>113</v>
      </c>
      <c r="G18" s="107"/>
      <c r="H18" s="107"/>
      <c r="I18" s="21" t="s">
        <v>135</v>
      </c>
      <c r="J18" s="105"/>
      <c r="K18" s="21" t="s">
        <v>165</v>
      </c>
      <c r="L18" s="21"/>
      <c r="M18" s="21"/>
      <c r="N18" s="21"/>
      <c r="O18" s="21"/>
      <c r="P18" s="21"/>
    </row>
    <row r="19" spans="1:16" x14ac:dyDescent="0.3">
      <c r="A19" s="21"/>
      <c r="B19" s="104"/>
      <c r="C19" s="106" t="s">
        <v>121</v>
      </c>
      <c r="D19" s="106" t="s">
        <v>113</v>
      </c>
      <c r="E19" s="106" t="s">
        <v>133</v>
      </c>
      <c r="F19" s="106" t="s">
        <v>113</v>
      </c>
      <c r="G19" s="107"/>
      <c r="H19" s="107"/>
      <c r="I19" s="21" t="s">
        <v>136</v>
      </c>
      <c r="J19" s="105"/>
      <c r="K19" s="21" t="s">
        <v>166</v>
      </c>
      <c r="L19" s="21"/>
      <c r="M19" s="21"/>
      <c r="N19" s="21"/>
      <c r="O19" s="21"/>
      <c r="P19" s="21"/>
    </row>
    <row r="20" spans="1:16" x14ac:dyDescent="0.3">
      <c r="A20" s="21"/>
      <c r="B20" s="104"/>
      <c r="C20" s="106" t="s">
        <v>121</v>
      </c>
      <c r="D20" s="106" t="s">
        <v>110</v>
      </c>
      <c r="E20" s="106" t="s">
        <v>109</v>
      </c>
      <c r="F20" s="106" t="s">
        <v>110</v>
      </c>
      <c r="G20" s="107"/>
      <c r="H20" s="107"/>
      <c r="I20" s="21" t="s">
        <v>137</v>
      </c>
      <c r="J20" s="105"/>
      <c r="K20" s="21" t="s">
        <v>167</v>
      </c>
      <c r="L20" s="21"/>
      <c r="M20" s="21"/>
      <c r="N20" s="21"/>
      <c r="O20" s="21"/>
      <c r="P20" s="21"/>
    </row>
    <row r="21" spans="1:16" x14ac:dyDescent="0.3">
      <c r="A21" s="21"/>
      <c r="B21" s="104"/>
      <c r="C21" s="106" t="s">
        <v>138</v>
      </c>
      <c r="D21" s="106" t="s">
        <v>108</v>
      </c>
      <c r="E21" s="106" t="s">
        <v>109</v>
      </c>
      <c r="F21" s="107"/>
      <c r="G21" s="107"/>
      <c r="H21" s="107"/>
      <c r="I21" s="21" t="s">
        <v>139</v>
      </c>
      <c r="J21" s="105"/>
      <c r="K21" s="21" t="s">
        <v>170</v>
      </c>
      <c r="L21" s="21"/>
      <c r="M21" s="21"/>
      <c r="N21" s="21"/>
      <c r="O21" s="21"/>
      <c r="P21" s="21"/>
    </row>
    <row r="22" spans="1:16" x14ac:dyDescent="0.3">
      <c r="A22" s="21"/>
      <c r="B22" s="104"/>
      <c r="C22" s="106" t="s">
        <v>138</v>
      </c>
      <c r="D22" s="106" t="s">
        <v>108</v>
      </c>
      <c r="E22" s="106" t="s">
        <v>109</v>
      </c>
      <c r="F22" s="106" t="s">
        <v>110</v>
      </c>
      <c r="G22" s="107"/>
      <c r="H22" s="107"/>
      <c r="I22" s="21" t="s">
        <v>140</v>
      </c>
      <c r="J22" s="105"/>
      <c r="K22" s="21" t="s">
        <v>171</v>
      </c>
      <c r="L22" s="21"/>
      <c r="M22" s="21"/>
      <c r="N22" s="21"/>
      <c r="O22" s="21"/>
      <c r="P22" s="21"/>
    </row>
    <row r="23" spans="1:16" x14ac:dyDescent="0.3">
      <c r="A23" s="21"/>
      <c r="B23" s="104"/>
      <c r="C23" s="106" t="s">
        <v>138</v>
      </c>
      <c r="D23" s="106" t="s">
        <v>123</v>
      </c>
      <c r="E23" s="106" t="s">
        <v>130</v>
      </c>
      <c r="F23" s="107"/>
      <c r="G23" s="107"/>
      <c r="H23" s="107"/>
      <c r="I23" s="21" t="s">
        <v>141</v>
      </c>
      <c r="J23" s="105"/>
      <c r="K23" s="21"/>
      <c r="L23" s="21"/>
      <c r="M23" s="21"/>
      <c r="N23" s="21"/>
      <c r="O23" s="21"/>
      <c r="P23" s="21"/>
    </row>
    <row r="24" spans="1:16" x14ac:dyDescent="0.3">
      <c r="A24" s="21"/>
      <c r="B24" s="104"/>
      <c r="C24" s="106" t="s">
        <v>138</v>
      </c>
      <c r="D24" s="106" t="s">
        <v>116</v>
      </c>
      <c r="E24" s="106" t="s">
        <v>109</v>
      </c>
      <c r="F24" s="106" t="s">
        <v>110</v>
      </c>
      <c r="G24" s="107"/>
      <c r="H24" s="107"/>
      <c r="I24" s="21" t="s">
        <v>142</v>
      </c>
      <c r="J24" s="105"/>
      <c r="K24" s="21"/>
      <c r="L24" s="21"/>
      <c r="M24" s="21"/>
      <c r="N24" s="21"/>
      <c r="O24" s="21"/>
      <c r="P24" s="21"/>
    </row>
    <row r="25" spans="1:16" x14ac:dyDescent="0.3">
      <c r="A25" s="21"/>
      <c r="B25" s="104"/>
      <c r="C25" s="106" t="s">
        <v>138</v>
      </c>
      <c r="D25" s="106" t="s">
        <v>116</v>
      </c>
      <c r="E25" s="106" t="s">
        <v>130</v>
      </c>
      <c r="F25" s="106" t="s">
        <v>116</v>
      </c>
      <c r="G25" s="107"/>
      <c r="H25" s="107"/>
      <c r="I25" s="21" t="s">
        <v>143</v>
      </c>
      <c r="J25" s="105"/>
      <c r="K25" s="21"/>
      <c r="L25" s="21"/>
      <c r="M25" s="21"/>
      <c r="N25" s="21"/>
      <c r="O25" s="21"/>
      <c r="P25" s="21"/>
    </row>
    <row r="26" spans="1:16" x14ac:dyDescent="0.3">
      <c r="A26" s="21"/>
      <c r="B26" s="104"/>
      <c r="C26" s="106" t="s">
        <v>138</v>
      </c>
      <c r="D26" s="106" t="s">
        <v>116</v>
      </c>
      <c r="E26" s="106" t="s">
        <v>144</v>
      </c>
      <c r="F26" s="106" t="s">
        <v>110</v>
      </c>
      <c r="G26" s="107"/>
      <c r="H26" s="107"/>
      <c r="I26" s="21" t="s">
        <v>145</v>
      </c>
      <c r="J26" s="105"/>
      <c r="K26" s="21"/>
      <c r="L26" s="21"/>
      <c r="M26" s="21"/>
      <c r="N26" s="21"/>
      <c r="O26" s="21"/>
      <c r="P26" s="21"/>
    </row>
    <row r="27" spans="1:16" x14ac:dyDescent="0.3">
      <c r="A27" s="21"/>
      <c r="B27" s="104"/>
      <c r="C27" s="106" t="s">
        <v>138</v>
      </c>
      <c r="D27" s="106" t="s">
        <v>113</v>
      </c>
      <c r="E27" s="106" t="s">
        <v>112</v>
      </c>
      <c r="F27" s="106" t="s">
        <v>113</v>
      </c>
      <c r="G27" s="107"/>
      <c r="H27" s="107"/>
      <c r="I27" s="21" t="s">
        <v>146</v>
      </c>
      <c r="J27" s="105"/>
      <c r="K27" s="21"/>
      <c r="L27" s="21"/>
      <c r="M27" s="21"/>
      <c r="N27" s="21"/>
      <c r="O27" s="21"/>
      <c r="P27" s="21"/>
    </row>
    <row r="28" spans="1:16" x14ac:dyDescent="0.3">
      <c r="A28" s="21"/>
      <c r="B28" s="104"/>
      <c r="C28" s="106" t="s">
        <v>138</v>
      </c>
      <c r="D28" s="106" t="s">
        <v>110</v>
      </c>
      <c r="E28" s="106" t="s">
        <v>109</v>
      </c>
      <c r="F28" s="107"/>
      <c r="G28" s="107"/>
      <c r="H28" s="107"/>
      <c r="I28" s="21" t="s">
        <v>147</v>
      </c>
      <c r="J28" s="105"/>
      <c r="K28" s="21"/>
      <c r="L28" s="21"/>
      <c r="M28" s="21"/>
      <c r="N28" s="21"/>
      <c r="O28" s="21"/>
      <c r="P28" s="21"/>
    </row>
    <row r="29" spans="1:16" x14ac:dyDescent="0.3">
      <c r="A29" s="21"/>
      <c r="B29" s="104"/>
      <c r="C29" s="106" t="s">
        <v>138</v>
      </c>
      <c r="D29" s="106" t="s">
        <v>110</v>
      </c>
      <c r="E29" s="106" t="s">
        <v>109</v>
      </c>
      <c r="F29" s="106" t="s">
        <v>110</v>
      </c>
      <c r="G29" s="107"/>
      <c r="H29" s="107"/>
      <c r="I29" s="21" t="s">
        <v>148</v>
      </c>
      <c r="J29" s="105"/>
      <c r="K29" s="21"/>
      <c r="L29" s="21"/>
      <c r="M29" s="21"/>
      <c r="N29" s="21"/>
      <c r="O29" s="21"/>
      <c r="P29" s="21"/>
    </row>
    <row r="30" spans="1:16" x14ac:dyDescent="0.3">
      <c r="A30" s="21"/>
      <c r="B30" s="104"/>
      <c r="C30" s="106" t="s">
        <v>138</v>
      </c>
      <c r="D30" s="106" t="s">
        <v>110</v>
      </c>
      <c r="E30" s="106" t="s">
        <v>130</v>
      </c>
      <c r="F30" s="107"/>
      <c r="G30" s="107"/>
      <c r="H30" s="107"/>
      <c r="I30" s="21" t="s">
        <v>149</v>
      </c>
      <c r="J30" s="21"/>
      <c r="K30" s="21"/>
      <c r="L30" s="21"/>
      <c r="M30" s="21"/>
      <c r="N30" s="21"/>
      <c r="O30" s="21"/>
      <c r="P30" s="21"/>
    </row>
    <row r="31" spans="1:16" x14ac:dyDescent="0.3">
      <c r="A31" s="21"/>
      <c r="B31" s="21"/>
      <c r="C31" s="106" t="s">
        <v>138</v>
      </c>
      <c r="D31" s="106" t="s">
        <v>110</v>
      </c>
      <c r="E31" s="106" t="s">
        <v>112</v>
      </c>
      <c r="F31" s="107"/>
      <c r="G31" s="107"/>
      <c r="H31" s="107"/>
      <c r="I31" s="21" t="s">
        <v>150</v>
      </c>
      <c r="J31" s="21"/>
      <c r="K31" s="21"/>
      <c r="L31" s="21"/>
      <c r="M31" s="21"/>
      <c r="N31" s="21"/>
      <c r="O31" s="21"/>
      <c r="P31" s="21"/>
    </row>
    <row r="32" spans="1:16" x14ac:dyDescent="0.3">
      <c r="A32" s="21"/>
      <c r="B32" s="21"/>
      <c r="C32" s="106" t="s">
        <v>151</v>
      </c>
      <c r="D32" s="106" t="s">
        <v>108</v>
      </c>
      <c r="E32" s="106" t="s">
        <v>130</v>
      </c>
      <c r="F32" s="106" t="s">
        <v>109</v>
      </c>
      <c r="G32" s="106" t="s">
        <v>130</v>
      </c>
      <c r="H32" s="106" t="s">
        <v>110</v>
      </c>
      <c r="I32" s="21" t="s">
        <v>152</v>
      </c>
      <c r="J32" s="21"/>
      <c r="K32" s="21"/>
      <c r="L32" s="21"/>
      <c r="M32" s="21"/>
      <c r="N32" s="21"/>
      <c r="O32" s="21"/>
      <c r="P32" s="21"/>
    </row>
    <row r="33" spans="1:16" x14ac:dyDescent="0.3">
      <c r="A33" s="107"/>
      <c r="B33" s="21"/>
      <c r="C33" s="106" t="s">
        <v>151</v>
      </c>
      <c r="D33" s="106" t="s">
        <v>108</v>
      </c>
      <c r="E33" s="106" t="s">
        <v>112</v>
      </c>
      <c r="F33" s="106" t="s">
        <v>109</v>
      </c>
      <c r="G33" s="106" t="s">
        <v>112</v>
      </c>
      <c r="H33" s="106" t="s">
        <v>116</v>
      </c>
      <c r="I33" s="21" t="s">
        <v>153</v>
      </c>
      <c r="J33" s="107"/>
      <c r="K33" s="21"/>
      <c r="L33" s="107"/>
      <c r="M33" s="107"/>
      <c r="N33" s="107"/>
      <c r="O33" s="107"/>
      <c r="P33" s="21"/>
    </row>
    <row r="34" spans="1:16" x14ac:dyDescent="0.3">
      <c r="A34" s="107"/>
      <c r="B34" s="107"/>
      <c r="C34" s="106" t="s">
        <v>151</v>
      </c>
      <c r="D34" s="106" t="s">
        <v>123</v>
      </c>
      <c r="E34" s="106" t="s">
        <v>109</v>
      </c>
      <c r="F34" s="106" t="s">
        <v>109</v>
      </c>
      <c r="G34" s="106" t="s">
        <v>109</v>
      </c>
      <c r="H34" s="106" t="s">
        <v>110</v>
      </c>
      <c r="I34" s="21" t="s">
        <v>154</v>
      </c>
      <c r="J34" s="107"/>
      <c r="K34" s="21"/>
      <c r="L34" s="107"/>
      <c r="M34" s="107"/>
      <c r="N34" s="107"/>
      <c r="O34" s="107"/>
      <c r="P34" s="107"/>
    </row>
    <row r="35" spans="1:16" x14ac:dyDescent="0.3">
      <c r="A35" s="107"/>
      <c r="B35" s="107"/>
      <c r="C35" s="106" t="s">
        <v>151</v>
      </c>
      <c r="D35" s="106" t="s">
        <v>127</v>
      </c>
      <c r="E35" s="106" t="s">
        <v>130</v>
      </c>
      <c r="F35" s="106" t="s">
        <v>109</v>
      </c>
      <c r="G35" s="106" t="s">
        <v>130</v>
      </c>
      <c r="H35" s="106" t="s">
        <v>113</v>
      </c>
      <c r="I35" s="21" t="s">
        <v>155</v>
      </c>
      <c r="J35" s="107"/>
      <c r="K35" s="21"/>
      <c r="L35" s="107"/>
      <c r="M35" s="107"/>
      <c r="N35" s="107"/>
      <c r="O35" s="107"/>
      <c r="P35" s="107"/>
    </row>
    <row r="36" spans="1:16" x14ac:dyDescent="0.3">
      <c r="A36" s="107"/>
      <c r="B36" s="107"/>
      <c r="C36" s="106" t="s">
        <v>151</v>
      </c>
      <c r="D36" s="106" t="s">
        <v>116</v>
      </c>
      <c r="E36" s="106" t="s">
        <v>109</v>
      </c>
      <c r="F36" s="106" t="s">
        <v>109</v>
      </c>
      <c r="G36" s="106" t="s">
        <v>109</v>
      </c>
      <c r="H36" s="106" t="s">
        <v>116</v>
      </c>
      <c r="I36" s="21" t="s">
        <v>156</v>
      </c>
      <c r="J36" s="107"/>
      <c r="K36" s="21"/>
      <c r="L36" s="107"/>
      <c r="M36" s="107"/>
      <c r="N36" s="107"/>
      <c r="O36" s="107"/>
      <c r="P36" s="107"/>
    </row>
    <row r="37" spans="1:16" x14ac:dyDescent="0.3">
      <c r="A37" s="107"/>
      <c r="B37" s="107"/>
      <c r="C37" s="106" t="s">
        <v>151</v>
      </c>
      <c r="D37" s="106" t="s">
        <v>116</v>
      </c>
      <c r="E37" s="106" t="s">
        <v>109</v>
      </c>
      <c r="F37" s="106" t="s">
        <v>109</v>
      </c>
      <c r="G37" s="106" t="s">
        <v>109</v>
      </c>
      <c r="H37" s="106" t="s">
        <v>110</v>
      </c>
      <c r="I37" s="21" t="s">
        <v>157</v>
      </c>
      <c r="J37" s="107"/>
      <c r="K37" s="107"/>
      <c r="L37" s="107"/>
      <c r="M37" s="107"/>
      <c r="N37" s="107"/>
      <c r="O37" s="107"/>
      <c r="P37" s="107"/>
    </row>
    <row r="38" spans="1:16" x14ac:dyDescent="0.3">
      <c r="A38" s="107"/>
      <c r="B38" s="107"/>
      <c r="C38" s="106" t="s">
        <v>151</v>
      </c>
      <c r="D38" s="106" t="s">
        <v>116</v>
      </c>
      <c r="E38" s="106" t="s">
        <v>130</v>
      </c>
      <c r="F38" s="106" t="s">
        <v>109</v>
      </c>
      <c r="G38" s="106" t="s">
        <v>130</v>
      </c>
      <c r="H38" s="106" t="s">
        <v>110</v>
      </c>
      <c r="I38" s="21" t="s">
        <v>158</v>
      </c>
      <c r="J38" s="107"/>
      <c r="K38" s="107"/>
      <c r="L38" s="107"/>
      <c r="M38" s="107"/>
      <c r="N38" s="107"/>
      <c r="O38" s="107"/>
      <c r="P38" s="107"/>
    </row>
    <row r="39" spans="1:16" x14ac:dyDescent="0.3">
      <c r="A39" s="107"/>
      <c r="B39" s="107"/>
      <c r="C39" s="106" t="s">
        <v>151</v>
      </c>
      <c r="D39" s="106" t="s">
        <v>116</v>
      </c>
      <c r="E39" s="106" t="s">
        <v>112</v>
      </c>
      <c r="F39" s="106" t="s">
        <v>109</v>
      </c>
      <c r="G39" s="106" t="s">
        <v>112</v>
      </c>
      <c r="H39" s="106" t="s">
        <v>110</v>
      </c>
      <c r="I39" s="21" t="s">
        <v>159</v>
      </c>
      <c r="J39" s="107"/>
      <c r="K39" s="107"/>
      <c r="L39" s="107"/>
      <c r="M39" s="107"/>
      <c r="N39" s="107"/>
      <c r="O39" s="107"/>
      <c r="P39" s="107"/>
    </row>
    <row r="40" spans="1:16" x14ac:dyDescent="0.3">
      <c r="A40" s="107"/>
      <c r="B40" s="107"/>
      <c r="C40" s="106" t="s">
        <v>151</v>
      </c>
      <c r="D40" s="106" t="s">
        <v>113</v>
      </c>
      <c r="E40" s="106" t="s">
        <v>112</v>
      </c>
      <c r="F40" s="106" t="s">
        <v>109</v>
      </c>
      <c r="G40" s="106" t="s">
        <v>112</v>
      </c>
      <c r="H40" s="106" t="s">
        <v>113</v>
      </c>
      <c r="I40" s="21" t="s">
        <v>160</v>
      </c>
      <c r="J40" s="107"/>
      <c r="K40" s="107"/>
      <c r="L40" s="107"/>
      <c r="M40" s="107"/>
      <c r="N40" s="107"/>
      <c r="O40" s="107"/>
      <c r="P40" s="107"/>
    </row>
    <row r="41" spans="1:16" x14ac:dyDescent="0.3">
      <c r="A41" s="107"/>
      <c r="B41" s="107"/>
      <c r="C41" s="106" t="s">
        <v>151</v>
      </c>
      <c r="D41" s="106" t="s">
        <v>110</v>
      </c>
      <c r="E41" s="106" t="s">
        <v>109</v>
      </c>
      <c r="F41" s="106" t="s">
        <v>109</v>
      </c>
      <c r="G41" s="106" t="s">
        <v>109</v>
      </c>
      <c r="H41" s="106" t="s">
        <v>110</v>
      </c>
      <c r="I41" s="21" t="s">
        <v>161</v>
      </c>
      <c r="J41" s="107"/>
      <c r="K41" s="107"/>
      <c r="L41" s="107"/>
      <c r="M41" s="107"/>
      <c r="N41" s="107"/>
      <c r="O41" s="107"/>
      <c r="P41" s="107"/>
    </row>
    <row r="42" spans="1:16" x14ac:dyDescent="0.3">
      <c r="B42" s="107"/>
      <c r="K42" s="107"/>
    </row>
    <row r="43" spans="1:16" x14ac:dyDescent="0.3">
      <c r="K43" s="107"/>
    </row>
    <row r="44" spans="1:16" x14ac:dyDescent="0.3">
      <c r="K44" s="107"/>
    </row>
    <row r="45" spans="1:16" x14ac:dyDescent="0.3">
      <c r="K45" s="107"/>
    </row>
  </sheetData>
  <mergeCells count="1">
    <mergeCell ref="L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P20" sqref="P20"/>
    </sheetView>
  </sheetViews>
  <sheetFormatPr defaultRowHeight="14.4" x14ac:dyDescent="0.3"/>
  <cols>
    <col min="1" max="1" width="12" style="28" bestFit="1" customWidth="1"/>
    <col min="2" max="2" width="8.88671875" style="25"/>
    <col min="3" max="3" width="10.88671875" style="25" bestFit="1" customWidth="1"/>
    <col min="4" max="4" width="13.6640625" style="25" bestFit="1" customWidth="1"/>
    <col min="5" max="5" width="13.6640625" style="25" customWidth="1"/>
    <col min="6" max="7" width="8.88671875" style="25"/>
    <col min="8" max="8" width="11" style="25" bestFit="1" customWidth="1"/>
    <col min="9" max="9" width="8.88671875" style="25"/>
    <col min="10" max="10" width="11.77734375" style="25" bestFit="1" customWidth="1"/>
    <col min="11" max="11" width="8.88671875" style="25"/>
    <col min="12" max="12" width="11" style="25" bestFit="1" customWidth="1"/>
    <col min="13" max="16384" width="8.88671875" style="25"/>
  </cols>
  <sheetData>
    <row r="1" spans="1:12" ht="26.4" thickBot="1" x14ac:dyDescent="0.35">
      <c r="A1" s="204" t="s">
        <v>102</v>
      </c>
      <c r="B1" s="205"/>
      <c r="C1" s="205"/>
      <c r="D1" s="205"/>
      <c r="E1" s="205"/>
      <c r="F1" s="205"/>
      <c r="G1" s="205"/>
      <c r="H1" s="206"/>
      <c r="J1" s="204" t="s">
        <v>75</v>
      </c>
      <c r="K1" s="205"/>
      <c r="L1" s="206"/>
    </row>
    <row r="2" spans="1:12" ht="18" x14ac:dyDescent="0.3">
      <c r="A2" s="110" t="s">
        <v>30</v>
      </c>
      <c r="B2" s="119" t="s">
        <v>22</v>
      </c>
      <c r="C2" s="119" t="s">
        <v>8</v>
      </c>
      <c r="D2" s="119" t="s">
        <v>32</v>
      </c>
      <c r="E2" s="119" t="s">
        <v>23</v>
      </c>
      <c r="F2" s="119" t="s">
        <v>24</v>
      </c>
      <c r="G2" s="119" t="s">
        <v>25</v>
      </c>
      <c r="H2" s="120" t="s">
        <v>26</v>
      </c>
      <c r="J2" s="121" t="s">
        <v>104</v>
      </c>
      <c r="K2" s="119" t="s">
        <v>25</v>
      </c>
      <c r="L2" s="120" t="s">
        <v>26</v>
      </c>
    </row>
    <row r="3" spans="1:12" x14ac:dyDescent="0.3">
      <c r="A3" s="112">
        <v>180</v>
      </c>
      <c r="B3" s="76">
        <v>1300</v>
      </c>
      <c r="C3" s="26">
        <v>1</v>
      </c>
      <c r="D3" s="26"/>
      <c r="E3" s="26"/>
      <c r="F3" s="77"/>
      <c r="G3" s="26"/>
      <c r="H3" s="111"/>
      <c r="J3" s="112"/>
      <c r="K3" s="26"/>
      <c r="L3" s="111"/>
    </row>
    <row r="4" spans="1:12" x14ac:dyDescent="0.3">
      <c r="A4" s="112">
        <v>200</v>
      </c>
      <c r="B4" s="76">
        <v>1450</v>
      </c>
      <c r="C4" s="26">
        <v>2</v>
      </c>
      <c r="D4" s="77">
        <v>0.35</v>
      </c>
      <c r="E4" s="77">
        <v>2.2000000000000002</v>
      </c>
      <c r="F4" s="77">
        <v>2.85</v>
      </c>
      <c r="G4" s="26">
        <v>2.25</v>
      </c>
      <c r="H4" s="113">
        <v>0.85</v>
      </c>
      <c r="J4" s="122">
        <v>4</v>
      </c>
      <c r="K4" s="77">
        <v>2.25</v>
      </c>
      <c r="L4" s="113">
        <v>0.85</v>
      </c>
    </row>
    <row r="5" spans="1:12" x14ac:dyDescent="0.3">
      <c r="A5" s="112">
        <v>210</v>
      </c>
      <c r="B5" s="76">
        <v>2000</v>
      </c>
      <c r="C5" s="26">
        <v>3</v>
      </c>
      <c r="D5" s="77">
        <v>0.4</v>
      </c>
      <c r="E5" s="77">
        <v>3.1</v>
      </c>
      <c r="F5" s="26"/>
      <c r="G5" s="26"/>
      <c r="H5" s="114">
        <v>1.25</v>
      </c>
      <c r="J5" s="122">
        <v>3.5</v>
      </c>
      <c r="K5" s="26"/>
      <c r="L5" s="114">
        <v>1.25</v>
      </c>
    </row>
    <row r="6" spans="1:12" x14ac:dyDescent="0.3">
      <c r="A6" s="112">
        <v>230</v>
      </c>
      <c r="B6" s="76">
        <v>2500</v>
      </c>
      <c r="C6" s="26">
        <v>4</v>
      </c>
      <c r="D6" s="77">
        <v>0.5</v>
      </c>
      <c r="E6" s="77">
        <v>3.3</v>
      </c>
      <c r="F6" s="26"/>
      <c r="G6" s="26"/>
      <c r="H6" s="114">
        <v>2</v>
      </c>
      <c r="J6" s="122"/>
      <c r="K6" s="26"/>
      <c r="L6" s="114">
        <v>2</v>
      </c>
    </row>
    <row r="7" spans="1:12" x14ac:dyDescent="0.3">
      <c r="A7" s="112">
        <v>250</v>
      </c>
      <c r="B7" s="76"/>
      <c r="C7" s="26">
        <v>5</v>
      </c>
      <c r="D7" s="77">
        <v>0.55000000000000004</v>
      </c>
      <c r="E7" s="77">
        <v>3.8</v>
      </c>
      <c r="F7" s="26"/>
      <c r="G7" s="26"/>
      <c r="H7" s="111"/>
      <c r="J7" s="122"/>
      <c r="K7" s="26"/>
      <c r="L7" s="111"/>
    </row>
    <row r="8" spans="1:12" x14ac:dyDescent="0.3">
      <c r="A8" s="112">
        <v>300</v>
      </c>
      <c r="B8" s="76"/>
      <c r="C8" s="26">
        <v>6</v>
      </c>
      <c r="D8" s="77"/>
      <c r="E8" s="77">
        <v>3.95</v>
      </c>
      <c r="F8" s="26"/>
      <c r="G8" s="26"/>
      <c r="H8" s="111"/>
      <c r="J8" s="122"/>
      <c r="K8" s="26"/>
      <c r="L8" s="111"/>
    </row>
    <row r="9" spans="1:12" x14ac:dyDescent="0.3">
      <c r="A9" s="112">
        <v>350</v>
      </c>
      <c r="B9" s="76"/>
      <c r="C9" s="26"/>
      <c r="D9" s="77"/>
      <c r="E9" s="77"/>
      <c r="F9" s="26"/>
      <c r="G9" s="26"/>
      <c r="H9" s="111"/>
      <c r="J9" s="122"/>
      <c r="K9" s="26"/>
      <c r="L9" s="111"/>
    </row>
    <row r="10" spans="1:12" x14ac:dyDescent="0.3">
      <c r="A10" s="112">
        <v>400</v>
      </c>
      <c r="B10" s="76"/>
      <c r="C10" s="26"/>
      <c r="D10" s="26"/>
      <c r="E10" s="77"/>
      <c r="F10" s="26"/>
      <c r="G10" s="26"/>
      <c r="H10" s="111"/>
      <c r="J10" s="122"/>
      <c r="K10" s="26"/>
      <c r="L10" s="111"/>
    </row>
    <row r="11" spans="1:12" ht="15" thickBot="1" x14ac:dyDescent="0.35">
      <c r="A11" s="112"/>
      <c r="B11" s="76"/>
      <c r="C11" s="26"/>
      <c r="D11" s="26"/>
      <c r="E11" s="26"/>
      <c r="F11" s="26"/>
      <c r="G11" s="26"/>
      <c r="H11" s="111"/>
      <c r="J11" s="115"/>
      <c r="K11" s="117"/>
      <c r="L11" s="118"/>
    </row>
    <row r="12" spans="1:12" x14ac:dyDescent="0.3">
      <c r="A12" s="112"/>
      <c r="B12" s="76"/>
      <c r="C12" s="26"/>
      <c r="D12" s="26"/>
      <c r="E12" s="26"/>
      <c r="F12" s="26"/>
      <c r="G12" s="26"/>
      <c r="H12" s="111"/>
    </row>
    <row r="13" spans="1:12" x14ac:dyDescent="0.3">
      <c r="A13" s="112"/>
      <c r="B13" s="76"/>
      <c r="C13" s="26"/>
      <c r="D13" s="26"/>
      <c r="E13" s="26"/>
      <c r="F13" s="26"/>
      <c r="G13" s="26"/>
      <c r="H13" s="111"/>
    </row>
    <row r="14" spans="1:12" x14ac:dyDescent="0.3">
      <c r="A14" s="112"/>
      <c r="B14" s="76"/>
      <c r="C14" s="26"/>
      <c r="D14" s="26"/>
      <c r="E14" s="26"/>
      <c r="F14" s="26"/>
      <c r="G14" s="26"/>
      <c r="H14" s="111"/>
    </row>
    <row r="15" spans="1:12" x14ac:dyDescent="0.3">
      <c r="A15" s="112"/>
      <c r="B15" s="76"/>
      <c r="C15" s="26"/>
      <c r="D15" s="26"/>
      <c r="E15" s="26"/>
      <c r="F15" s="26"/>
      <c r="G15" s="26"/>
      <c r="H15" s="111"/>
    </row>
    <row r="16" spans="1:12" x14ac:dyDescent="0.3">
      <c r="A16" s="112"/>
      <c r="B16" s="76"/>
      <c r="C16" s="26"/>
      <c r="D16" s="26"/>
      <c r="E16" s="26"/>
      <c r="F16" s="26"/>
      <c r="G16" s="26"/>
      <c r="H16" s="111"/>
    </row>
    <row r="17" spans="1:8" x14ac:dyDescent="0.3">
      <c r="A17" s="112"/>
      <c r="B17" s="76"/>
      <c r="C17" s="26"/>
      <c r="D17" s="26"/>
      <c r="E17" s="26"/>
      <c r="F17" s="26"/>
      <c r="G17" s="26"/>
      <c r="H17" s="111"/>
    </row>
    <row r="18" spans="1:8" x14ac:dyDescent="0.3">
      <c r="A18" s="112"/>
      <c r="B18" s="76"/>
      <c r="C18" s="26"/>
      <c r="D18" s="26"/>
      <c r="E18" s="26"/>
      <c r="F18" s="26"/>
      <c r="G18" s="26"/>
      <c r="H18" s="111"/>
    </row>
    <row r="19" spans="1:8" x14ac:dyDescent="0.3">
      <c r="A19" s="112"/>
      <c r="B19" s="76"/>
      <c r="C19" s="26"/>
      <c r="D19" s="26"/>
      <c r="E19" s="26"/>
      <c r="F19" s="26"/>
      <c r="G19" s="26"/>
      <c r="H19" s="111"/>
    </row>
    <row r="20" spans="1:8" x14ac:dyDescent="0.3">
      <c r="A20" s="112"/>
      <c r="B20" s="76"/>
      <c r="C20" s="26"/>
      <c r="D20" s="26"/>
      <c r="E20" s="26"/>
      <c r="F20" s="26"/>
      <c r="G20" s="26"/>
      <c r="H20" s="111"/>
    </row>
    <row r="21" spans="1:8" ht="15" thickBot="1" x14ac:dyDescent="0.35">
      <c r="A21" s="115"/>
      <c r="B21" s="116"/>
      <c r="C21" s="117"/>
      <c r="D21" s="117"/>
      <c r="E21" s="117"/>
      <c r="F21" s="117"/>
      <c r="G21" s="117"/>
      <c r="H21" s="118"/>
    </row>
    <row r="22" spans="1:8" x14ac:dyDescent="0.3">
      <c r="A22" s="27"/>
    </row>
    <row r="23" spans="1:8" x14ac:dyDescent="0.3">
      <c r="A23" s="27"/>
    </row>
    <row r="24" spans="1:8" x14ac:dyDescent="0.3">
      <c r="A24" s="27"/>
    </row>
    <row r="25" spans="1:8" x14ac:dyDescent="0.3">
      <c r="A25" s="27"/>
    </row>
    <row r="26" spans="1:8" x14ac:dyDescent="0.3">
      <c r="A26" s="27"/>
    </row>
    <row r="27" spans="1:8" x14ac:dyDescent="0.3">
      <c r="A27" s="27"/>
    </row>
    <row r="28" spans="1:8" x14ac:dyDescent="0.3">
      <c r="A28" s="27"/>
    </row>
    <row r="29" spans="1:8" x14ac:dyDescent="0.3">
      <c r="A29" s="27"/>
    </row>
    <row r="30" spans="1:8" x14ac:dyDescent="0.3">
      <c r="A30" s="27"/>
    </row>
    <row r="31" spans="1:8" x14ac:dyDescent="0.3">
      <c r="A31" s="27"/>
    </row>
  </sheetData>
  <mergeCells count="2">
    <mergeCell ref="A1:H1"/>
    <mergeCell ref="J1:L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KUTU SİPARİŞ FORMU</vt:lpstr>
      <vt:lpstr>SİPARİŞ VERİ DOSYASI</vt:lpstr>
      <vt:lpstr>HESAPLAMA VERİ DOSYASI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2026-06-03T05:56:25Z</dcterms:modified>
</cp:coreProperties>
</file>