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KOLİ SİPARİŞ FORMU" sheetId="1" r:id="rId1"/>
    <sheet name="SİPARİŞ OLIŞTURMA VERİ DOSYASI" sheetId="2" state="hidden" r:id="rId2"/>
    <sheet name="KOLİ HESAPLAMA VERİ DOSYASI" sheetId="3" state="hidden" r:id="rId3"/>
  </sheets>
  <calcPr calcId="152511"/>
</workbook>
</file>

<file path=xl/calcChain.xml><?xml version="1.0" encoding="utf-8"?>
<calcChain xmlns="http://schemas.openxmlformats.org/spreadsheetml/2006/main">
  <c r="G64" i="2" l="1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14" i="1" l="1"/>
  <c r="N11" i="1"/>
  <c r="L13" i="1" l="1"/>
  <c r="L15" i="1" l="1"/>
  <c r="L18" i="1" s="1"/>
  <c r="L21" i="1" s="1"/>
</calcChain>
</file>

<file path=xl/sharedStrings.xml><?xml version="1.0" encoding="utf-8"?>
<sst xmlns="http://schemas.openxmlformats.org/spreadsheetml/2006/main" count="388" uniqueCount="87">
  <si>
    <t>FİRMA İSMİ</t>
  </si>
  <si>
    <t>ÜRÜN İSMİ</t>
  </si>
  <si>
    <t>BASKI TÜRÜ</t>
  </si>
  <si>
    <t>RENK SAYISI</t>
  </si>
  <si>
    <t>TERMİNİ</t>
  </si>
  <si>
    <t>FİYATI</t>
  </si>
  <si>
    <t>SİPARİŞ MİKTARI</t>
  </si>
  <si>
    <t>AMBALAJ ŞEKLİ</t>
  </si>
  <si>
    <t>SEVK YERİ</t>
  </si>
  <si>
    <t>GRAFİK BİLGİSİ</t>
  </si>
  <si>
    <t>SİPARİŞ NOTLARI</t>
  </si>
  <si>
    <t>KOLİ SİPARİŞ OLUŞTURMA LİSTESİ</t>
  </si>
  <si>
    <t>OLUKLU KALİTE</t>
  </si>
  <si>
    <t>BASKI ŞEKLİ</t>
  </si>
  <si>
    <t>AMBALAJLAMA ŞEKLİ</t>
  </si>
  <si>
    <t>GRAFİK</t>
  </si>
  <si>
    <t>BASKISIZ</t>
  </si>
  <si>
    <t>CMYK</t>
  </si>
  <si>
    <t>SİYAH</t>
  </si>
  <si>
    <t>KIRMIZI</t>
  </si>
  <si>
    <t>İNLİNE</t>
  </si>
  <si>
    <t>MAVİ</t>
  </si>
  <si>
    <t>LACİVERT</t>
  </si>
  <si>
    <t>TURUNCU</t>
  </si>
  <si>
    <t>YEŞİL</t>
  </si>
  <si>
    <t>BEYAZ</t>
  </si>
  <si>
    <t>SARI</t>
  </si>
  <si>
    <t>PEMBE</t>
  </si>
  <si>
    <t>EKLENTİ</t>
  </si>
  <si>
    <t>DİKİŞ</t>
  </si>
  <si>
    <t>YAPIŞTIRMA</t>
  </si>
  <si>
    <t>PALETLİ</t>
  </si>
  <si>
    <t>DÖKME</t>
  </si>
  <si>
    <t>KLİŞESİ VAR</t>
  </si>
  <si>
    <t>YENİ ÇALIŞMA</t>
  </si>
  <si>
    <t>KOLİ HESAPLAMA</t>
  </si>
  <si>
    <t>LEVHA ÖLÇÜSÜ</t>
  </si>
  <si>
    <t xml:space="preserve">EN </t>
  </si>
  <si>
    <t>BOY</t>
  </si>
  <si>
    <t xml:space="preserve">SAFYA </t>
  </si>
  <si>
    <t>M2 FİYATI</t>
  </si>
  <si>
    <t>ADET</t>
  </si>
  <si>
    <t>KOLİ HESAP ÖZETİ</t>
  </si>
  <si>
    <t>LEVHA</t>
  </si>
  <si>
    <t>TOPLAM</t>
  </si>
  <si>
    <t>ORAN</t>
  </si>
  <si>
    <t>GENEL TOPLAM</t>
  </si>
  <si>
    <t>SEVK NOTU</t>
  </si>
  <si>
    <t>KALİTESİ</t>
  </si>
  <si>
    <t>KOLİ ÖLÇÜSÜ</t>
  </si>
  <si>
    <t>EN</t>
  </si>
  <si>
    <t>YÜKSEKLİK</t>
  </si>
  <si>
    <t>BİRİM KLİŞE GİDERİ</t>
  </si>
  <si>
    <t>BİRİM BIÇAK GİDERİ</t>
  </si>
  <si>
    <t>BİRİM MALİYET</t>
  </si>
  <si>
    <t>B</t>
  </si>
  <si>
    <t>B120</t>
  </si>
  <si>
    <t>S080</t>
  </si>
  <si>
    <t>T090</t>
  </si>
  <si>
    <t>S135</t>
  </si>
  <si>
    <t>MK135</t>
  </si>
  <si>
    <t>MK110</t>
  </si>
  <si>
    <t>C</t>
  </si>
  <si>
    <t>B125</t>
  </si>
  <si>
    <t>KR100</t>
  </si>
  <si>
    <t>KR135</t>
  </si>
  <si>
    <t>S120</t>
  </si>
  <si>
    <t>S175</t>
  </si>
  <si>
    <t>E</t>
  </si>
  <si>
    <t>S125</t>
  </si>
  <si>
    <t>BC</t>
  </si>
  <si>
    <t>S140</t>
  </si>
  <si>
    <t>EB</t>
  </si>
  <si>
    <t>AÇIK MAVİ</t>
  </si>
  <si>
    <t>TURKUAZ</t>
  </si>
  <si>
    <t>AÇIK YEŞİL</t>
  </si>
  <si>
    <t>KOYU YEŞİL</t>
  </si>
  <si>
    <t>MOR</t>
  </si>
  <si>
    <t>GRİ</t>
  </si>
  <si>
    <t>FÜME</t>
  </si>
  <si>
    <t>ANTRASİT</t>
  </si>
  <si>
    <t>KAHVERENGİ</t>
  </si>
  <si>
    <t>BORDO</t>
  </si>
  <si>
    <t>B120/S120/S080/S120/T090 - BC</t>
  </si>
  <si>
    <t>KÖSE AYAKKABI</t>
  </si>
  <si>
    <t>WEAL MERDANE SPOR KOLİ 10'LU</t>
  </si>
  <si>
    <t>T090/S080/S080/S080/T090 -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</si>
</sst>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/>
    <xf numFmtId="0" fontId="1" fillId="0" borderId="5" xfId="0" applyFont="1" applyBorder="1" applyAlignment="1">
      <alignment horizontal="left"/>
    </xf>
    <xf numFmtId="0" fontId="0" fillId="0" borderId="0" xfId="0" applyFill="1"/>
    <xf numFmtId="0" fontId="0" fillId="0" borderId="21" xfId="0" applyFill="1" applyBorder="1" applyAlignment="1"/>
    <xf numFmtId="0" fontId="0" fillId="0" borderId="0" xfId="0" applyFill="1" applyBorder="1"/>
    <xf numFmtId="0" fontId="5" fillId="2" borderId="29" xfId="0" applyFont="1" applyFill="1" applyBorder="1"/>
    <xf numFmtId="0" fontId="5" fillId="2" borderId="30" xfId="0" applyFont="1" applyFill="1" applyBorder="1"/>
    <xf numFmtId="0" fontId="5" fillId="2" borderId="4" xfId="0" applyFont="1" applyFill="1" applyBorder="1"/>
    <xf numFmtId="0" fontId="5" fillId="2" borderId="6" xfId="0" applyFont="1" applyFill="1" applyBorder="1"/>
    <xf numFmtId="0" fontId="5" fillId="2" borderId="10" xfId="0" applyFont="1" applyFill="1" applyBorder="1"/>
    <xf numFmtId="0" fontId="5" fillId="2" borderId="12" xfId="0" applyFont="1" applyFill="1" applyBorder="1"/>
    <xf numFmtId="0" fontId="5" fillId="2" borderId="31" xfId="0" applyFont="1" applyFill="1" applyBorder="1"/>
    <xf numFmtId="0" fontId="5" fillId="0" borderId="0" xfId="0" applyFont="1" applyFill="1" applyBorder="1"/>
    <xf numFmtId="0" fontId="0" fillId="0" borderId="22" xfId="0" applyFill="1" applyBorder="1"/>
    <xf numFmtId="0" fontId="0" fillId="0" borderId="22" xfId="0" applyFill="1" applyBorder="1" applyAlignment="1"/>
    <xf numFmtId="0" fontId="1" fillId="3" borderId="4" xfId="0" applyFont="1" applyFill="1" applyBorder="1"/>
    <xf numFmtId="0" fontId="5" fillId="0" borderId="21" xfId="0" applyFont="1" applyFill="1" applyBorder="1"/>
    <xf numFmtId="0" fontId="0" fillId="0" borderId="24" xfId="0" applyFill="1" applyBorder="1"/>
    <xf numFmtId="0" fontId="0" fillId="0" borderId="25" xfId="0" applyFill="1" applyBorder="1"/>
    <xf numFmtId="0" fontId="3" fillId="0" borderId="26" xfId="0" applyFont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1" fillId="0" borderId="0" xfId="0" applyFont="1" applyBorder="1" applyAlignment="1">
      <alignment horizontal="left"/>
    </xf>
    <xf numFmtId="4" fontId="0" fillId="0" borderId="0" xfId="0" applyNumberFormat="1"/>
    <xf numFmtId="0" fontId="1" fillId="5" borderId="29" xfId="0" applyFont="1" applyFill="1" applyBorder="1"/>
    <xf numFmtId="0" fontId="1" fillId="5" borderId="30" xfId="0" applyFont="1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10" xfId="0" applyFill="1" applyBorder="1"/>
    <xf numFmtId="0" fontId="0" fillId="5" borderId="12" xfId="0" applyFill="1" applyBorder="1"/>
    <xf numFmtId="0" fontId="1" fillId="4" borderId="30" xfId="0" applyFont="1" applyFill="1" applyBorder="1"/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3" fontId="5" fillId="3" borderId="31" xfId="0" applyNumberFormat="1" applyFont="1" applyFill="1" applyBorder="1"/>
    <xf numFmtId="9" fontId="5" fillId="2" borderId="32" xfId="0" applyNumberFormat="1" applyFont="1" applyFill="1" applyBorder="1"/>
    <xf numFmtId="0" fontId="1" fillId="3" borderId="1" xfId="0" applyFont="1" applyFill="1" applyBorder="1"/>
    <xf numFmtId="3" fontId="1" fillId="3" borderId="3" xfId="0" applyNumberFormat="1" applyFont="1" applyFill="1" applyBorder="1"/>
    <xf numFmtId="3" fontId="1" fillId="3" borderId="6" xfId="0" applyNumberFormat="1" applyFont="1" applyFill="1" applyBorder="1"/>
    <xf numFmtId="0" fontId="5" fillId="6" borderId="26" xfId="0" applyFont="1" applyFill="1" applyBorder="1"/>
    <xf numFmtId="4" fontId="5" fillId="6" borderId="37" xfId="0" applyNumberFormat="1" applyFont="1" applyFill="1" applyBorder="1"/>
    <xf numFmtId="0" fontId="3" fillId="0" borderId="38" xfId="0" applyFont="1" applyBorder="1"/>
    <xf numFmtId="0" fontId="1" fillId="0" borderId="38" xfId="0" applyFont="1" applyBorder="1" applyAlignment="1">
      <alignment horizontal="left"/>
    </xf>
    <xf numFmtId="0" fontId="1" fillId="0" borderId="5" xfId="0" applyFont="1" applyBorder="1"/>
    <xf numFmtId="0" fontId="1" fillId="0" borderId="0" xfId="0" applyFont="1"/>
    <xf numFmtId="0" fontId="1" fillId="0" borderId="5" xfId="0" applyFont="1" applyBorder="1" applyProtection="1">
      <protection locked="0"/>
    </xf>
    <xf numFmtId="0" fontId="1" fillId="0" borderId="0" xfId="0" applyFont="1" applyBorder="1"/>
    <xf numFmtId="4" fontId="4" fillId="0" borderId="5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zoomScaleNormal="100" workbookViewId="0">
      <selection activeCell="B14" sqref="B14:I14"/>
    </sheetView>
  </sheetViews>
  <sheetFormatPr defaultRowHeight="14.4" x14ac:dyDescent="0.3"/>
  <cols>
    <col min="1" max="1" width="20.5546875" customWidth="1"/>
    <col min="2" max="9" width="6.5546875" customWidth="1"/>
    <col min="11" max="11" width="17.77734375" customWidth="1"/>
    <col min="12" max="14" width="10.6640625" customWidth="1"/>
  </cols>
  <sheetData>
    <row r="1" spans="1:16" x14ac:dyDescent="0.3">
      <c r="A1" s="94" t="s">
        <v>11</v>
      </c>
      <c r="B1" s="95"/>
      <c r="C1" s="95"/>
      <c r="D1" s="95"/>
      <c r="E1" s="95"/>
      <c r="F1" s="95"/>
      <c r="G1" s="95"/>
      <c r="H1" s="95"/>
      <c r="I1" s="96"/>
      <c r="K1" s="62" t="s">
        <v>35</v>
      </c>
      <c r="L1" s="63"/>
      <c r="M1" s="63"/>
      <c r="N1" s="63"/>
      <c r="O1" s="63"/>
      <c r="P1" s="64"/>
    </row>
    <row r="2" spans="1:16" x14ac:dyDescent="0.3">
      <c r="A2" s="97"/>
      <c r="B2" s="98"/>
      <c r="C2" s="98"/>
      <c r="D2" s="98"/>
      <c r="E2" s="98"/>
      <c r="F2" s="98"/>
      <c r="G2" s="98"/>
      <c r="H2" s="98"/>
      <c r="I2" s="99"/>
      <c r="K2" s="65"/>
      <c r="L2" s="66"/>
      <c r="M2" s="66"/>
      <c r="N2" s="66"/>
      <c r="O2" s="66"/>
      <c r="P2" s="67"/>
    </row>
    <row r="3" spans="1:16" ht="15" thickBot="1" x14ac:dyDescent="0.35">
      <c r="A3" s="97"/>
      <c r="B3" s="98"/>
      <c r="C3" s="98"/>
      <c r="D3" s="98"/>
      <c r="E3" s="98"/>
      <c r="F3" s="98"/>
      <c r="G3" s="98"/>
      <c r="H3" s="98"/>
      <c r="I3" s="99"/>
      <c r="K3" s="68"/>
      <c r="L3" s="69"/>
      <c r="M3" s="69"/>
      <c r="N3" s="69"/>
      <c r="O3" s="69"/>
      <c r="P3" s="70"/>
    </row>
    <row r="4" spans="1:16" ht="19.2" customHeight="1" thickBot="1" x14ac:dyDescent="0.4">
      <c r="A4" s="1" t="s">
        <v>0</v>
      </c>
      <c r="B4" s="100" t="s">
        <v>84</v>
      </c>
      <c r="C4" s="100"/>
      <c r="D4" s="100"/>
      <c r="E4" s="100"/>
      <c r="F4" s="100"/>
      <c r="G4" s="100"/>
      <c r="H4" s="100"/>
      <c r="I4" s="101"/>
      <c r="K4" s="71" t="s">
        <v>36</v>
      </c>
      <c r="L4" s="35" t="s">
        <v>37</v>
      </c>
      <c r="M4" s="36" t="s">
        <v>38</v>
      </c>
      <c r="N4" s="16"/>
      <c r="O4" s="8"/>
      <c r="P4" s="17"/>
    </row>
    <row r="5" spans="1:16" ht="19.2" customHeight="1" thickBot="1" x14ac:dyDescent="0.4">
      <c r="A5" s="1" t="s">
        <v>1</v>
      </c>
      <c r="B5" s="100" t="s">
        <v>85</v>
      </c>
      <c r="C5" s="100"/>
      <c r="D5" s="100"/>
      <c r="E5" s="100"/>
      <c r="F5" s="100"/>
      <c r="G5" s="100"/>
      <c r="H5" s="100"/>
      <c r="I5" s="101"/>
      <c r="K5" s="72"/>
      <c r="L5" s="37">
        <v>802</v>
      </c>
      <c r="M5" s="37">
        <v>2140</v>
      </c>
      <c r="N5" s="16"/>
      <c r="O5" s="8"/>
      <c r="P5" s="17"/>
    </row>
    <row r="6" spans="1:16" ht="19.2" customHeight="1" thickBot="1" x14ac:dyDescent="0.35">
      <c r="A6" s="102" t="s">
        <v>49</v>
      </c>
      <c r="B6" s="104" t="s">
        <v>38</v>
      </c>
      <c r="C6" s="104"/>
      <c r="D6" s="104"/>
      <c r="E6" s="104" t="s">
        <v>50</v>
      </c>
      <c r="F6" s="104"/>
      <c r="G6" s="104" t="s">
        <v>51</v>
      </c>
      <c r="H6" s="104"/>
      <c r="I6" s="105"/>
      <c r="K6" s="73" t="s">
        <v>39</v>
      </c>
      <c r="L6" s="74"/>
      <c r="M6" s="75" t="s">
        <v>29</v>
      </c>
      <c r="N6" s="76"/>
      <c r="O6" s="7"/>
      <c r="P6" s="18"/>
    </row>
    <row r="7" spans="1:16" ht="19.2" customHeight="1" x14ac:dyDescent="0.35">
      <c r="A7" s="103"/>
      <c r="B7" s="100">
        <v>610</v>
      </c>
      <c r="C7" s="100"/>
      <c r="D7" s="100"/>
      <c r="E7" s="100">
        <v>445</v>
      </c>
      <c r="F7" s="100"/>
      <c r="G7" s="100">
        <v>350</v>
      </c>
      <c r="H7" s="100"/>
      <c r="I7" s="101"/>
      <c r="K7" s="28" t="s">
        <v>40</v>
      </c>
      <c r="L7" s="29">
        <v>16.5</v>
      </c>
      <c r="M7" s="28" t="s">
        <v>41</v>
      </c>
      <c r="N7" s="34"/>
      <c r="O7" s="8"/>
      <c r="P7" s="17"/>
    </row>
    <row r="8" spans="1:16" ht="19.2" customHeight="1" x14ac:dyDescent="0.35">
      <c r="A8" s="1" t="s">
        <v>48</v>
      </c>
      <c r="B8" s="55" t="s">
        <v>86</v>
      </c>
      <c r="C8" s="55"/>
      <c r="D8" s="55"/>
      <c r="E8" s="55"/>
      <c r="F8" s="55"/>
      <c r="G8" s="55"/>
      <c r="H8" s="55"/>
      <c r="I8" s="56"/>
      <c r="K8" s="30"/>
      <c r="L8" s="31"/>
      <c r="M8" s="30"/>
      <c r="N8" s="31"/>
      <c r="O8" s="8"/>
      <c r="P8" s="17"/>
    </row>
    <row r="9" spans="1:16" ht="19.2" customHeight="1" x14ac:dyDescent="0.35">
      <c r="A9" s="1" t="s">
        <v>2</v>
      </c>
      <c r="B9" s="55" t="s">
        <v>20</v>
      </c>
      <c r="C9" s="55"/>
      <c r="D9" s="55"/>
      <c r="E9" s="55"/>
      <c r="F9" s="55"/>
      <c r="G9" s="55"/>
      <c r="H9" s="55"/>
      <c r="I9" s="56"/>
      <c r="K9" s="30"/>
      <c r="L9" s="31"/>
      <c r="M9" s="30"/>
      <c r="N9" s="31"/>
      <c r="O9" s="8"/>
      <c r="P9" s="17"/>
    </row>
    <row r="10" spans="1:16" ht="19.2" customHeight="1" x14ac:dyDescent="0.35">
      <c r="A10" s="1" t="s">
        <v>3</v>
      </c>
      <c r="B10" s="55" t="s">
        <v>18</v>
      </c>
      <c r="C10" s="55"/>
      <c r="D10" s="55"/>
      <c r="E10" s="55"/>
      <c r="F10" s="55"/>
      <c r="G10" s="55"/>
      <c r="H10" s="55"/>
      <c r="I10" s="56"/>
      <c r="K10" s="30"/>
      <c r="L10" s="31"/>
      <c r="M10" s="30"/>
      <c r="N10" s="31"/>
      <c r="O10" s="8"/>
      <c r="P10" s="17"/>
    </row>
    <row r="11" spans="1:16" ht="19.2" customHeight="1" thickBot="1" x14ac:dyDescent="0.4">
      <c r="A11" s="1" t="s">
        <v>28</v>
      </c>
      <c r="B11" s="57" t="s">
        <v>30</v>
      </c>
      <c r="C11" s="58"/>
      <c r="D11" s="58"/>
      <c r="E11" s="58"/>
      <c r="F11" s="58"/>
      <c r="G11" s="58"/>
      <c r="H11" s="58"/>
      <c r="I11" s="59"/>
      <c r="K11" s="32"/>
      <c r="L11" s="33"/>
      <c r="M11" s="32"/>
      <c r="N11" s="33">
        <f>SUM(N7:N10)</f>
        <v>0</v>
      </c>
      <c r="O11" s="8"/>
      <c r="P11" s="17"/>
    </row>
    <row r="12" spans="1:16" ht="19.2" customHeight="1" thickBot="1" x14ac:dyDescent="0.4">
      <c r="A12" s="1" t="s">
        <v>4</v>
      </c>
      <c r="B12" s="60"/>
      <c r="C12" s="60"/>
      <c r="D12" s="60"/>
      <c r="E12" s="60"/>
      <c r="F12" s="60"/>
      <c r="G12" s="60"/>
      <c r="H12" s="60"/>
      <c r="I12" s="61"/>
      <c r="K12" s="77" t="s">
        <v>42</v>
      </c>
      <c r="L12" s="78"/>
      <c r="M12" s="8"/>
      <c r="N12" s="8"/>
      <c r="O12" s="8"/>
      <c r="P12" s="17"/>
    </row>
    <row r="13" spans="1:16" ht="19.2" customHeight="1" x14ac:dyDescent="0.35">
      <c r="A13" s="1" t="s">
        <v>5</v>
      </c>
      <c r="B13" s="50">
        <v>38.5</v>
      </c>
      <c r="C13" s="50"/>
      <c r="D13" s="50"/>
      <c r="E13" s="50"/>
      <c r="F13" s="50"/>
      <c r="G13" s="50"/>
      <c r="H13" s="50"/>
      <c r="I13" s="51"/>
      <c r="K13" s="9" t="s">
        <v>43</v>
      </c>
      <c r="L13" s="10">
        <f>(L5*M5*L7)/1000000</f>
        <v>28.318619999999999</v>
      </c>
      <c r="M13" s="8"/>
      <c r="N13" s="8"/>
      <c r="O13" s="8"/>
      <c r="P13" s="17"/>
    </row>
    <row r="14" spans="1:16" ht="19.2" customHeight="1" x14ac:dyDescent="0.35">
      <c r="A14" s="1" t="s">
        <v>6</v>
      </c>
      <c r="B14" s="52">
        <v>710</v>
      </c>
      <c r="C14" s="53"/>
      <c r="D14" s="53"/>
      <c r="E14" s="53"/>
      <c r="F14" s="53"/>
      <c r="G14" s="53"/>
      <c r="H14" s="53"/>
      <c r="I14" s="54"/>
      <c r="K14" s="11" t="s">
        <v>29</v>
      </c>
      <c r="L14" s="12">
        <f>N11</f>
        <v>0</v>
      </c>
      <c r="M14" s="8"/>
      <c r="N14" s="8"/>
      <c r="O14" s="8"/>
      <c r="P14" s="17"/>
    </row>
    <row r="15" spans="1:16" ht="19.2" customHeight="1" thickBot="1" x14ac:dyDescent="0.4">
      <c r="A15" s="1" t="s">
        <v>7</v>
      </c>
      <c r="B15" s="55" t="s">
        <v>32</v>
      </c>
      <c r="C15" s="55"/>
      <c r="D15" s="55"/>
      <c r="E15" s="55"/>
      <c r="F15" s="55"/>
      <c r="G15" s="55"/>
      <c r="H15" s="55"/>
      <c r="I15" s="56"/>
      <c r="K15" s="13" t="s">
        <v>44</v>
      </c>
      <c r="L15" s="14">
        <f>SUM(L13:L14)</f>
        <v>28.318619999999999</v>
      </c>
      <c r="M15" s="8"/>
      <c r="N15" s="8"/>
      <c r="O15" s="8"/>
      <c r="P15" s="17"/>
    </row>
    <row r="16" spans="1:16" ht="19.2" customHeight="1" x14ac:dyDescent="0.35">
      <c r="A16" s="1" t="s">
        <v>8</v>
      </c>
      <c r="B16" s="60"/>
      <c r="C16" s="60"/>
      <c r="D16" s="60"/>
      <c r="E16" s="60"/>
      <c r="F16" s="60"/>
      <c r="G16" s="60"/>
      <c r="H16" s="60"/>
      <c r="I16" s="61"/>
      <c r="K16" s="39" t="s">
        <v>52</v>
      </c>
      <c r="L16" s="40"/>
      <c r="M16" s="8"/>
      <c r="N16" s="8"/>
      <c r="O16" s="8"/>
      <c r="P16" s="17"/>
    </row>
    <row r="17" spans="1:16" ht="19.2" customHeight="1" x14ac:dyDescent="0.35">
      <c r="A17" s="23" t="s">
        <v>47</v>
      </c>
      <c r="B17" s="91"/>
      <c r="C17" s="92"/>
      <c r="D17" s="92"/>
      <c r="E17" s="92"/>
      <c r="F17" s="92"/>
      <c r="G17" s="92"/>
      <c r="H17" s="92"/>
      <c r="I17" s="93"/>
      <c r="K17" s="19" t="s">
        <v>53</v>
      </c>
      <c r="L17" s="41"/>
      <c r="M17" s="8"/>
      <c r="N17" s="8"/>
      <c r="O17" s="8"/>
      <c r="P17" s="17"/>
    </row>
    <row r="18" spans="1:16" ht="19.2" customHeight="1" thickBot="1" x14ac:dyDescent="0.4">
      <c r="A18" s="2" t="s">
        <v>9</v>
      </c>
      <c r="B18" s="82"/>
      <c r="C18" s="82"/>
      <c r="D18" s="82"/>
      <c r="E18" s="82"/>
      <c r="F18" s="82"/>
      <c r="G18" s="82"/>
      <c r="H18" s="82"/>
      <c r="I18" s="83"/>
      <c r="K18" s="42" t="s">
        <v>54</v>
      </c>
      <c r="L18" s="43">
        <f>L15+L16+L17</f>
        <v>28.318619999999999</v>
      </c>
      <c r="M18" s="8"/>
      <c r="N18" s="8"/>
      <c r="O18" s="8"/>
      <c r="P18" s="17"/>
    </row>
    <row r="19" spans="1:16" ht="16.2" thickBot="1" x14ac:dyDescent="0.35">
      <c r="A19" s="84"/>
      <c r="B19" s="84"/>
      <c r="C19" s="84"/>
      <c r="D19" s="84"/>
      <c r="E19" s="84"/>
      <c r="F19" s="84"/>
      <c r="G19" s="84"/>
      <c r="H19" s="84"/>
      <c r="I19" s="84"/>
      <c r="K19" s="15" t="s">
        <v>45</v>
      </c>
      <c r="L19" s="38">
        <v>0.35</v>
      </c>
      <c r="M19" s="8"/>
      <c r="N19" s="8"/>
      <c r="O19" s="8"/>
      <c r="P19" s="17"/>
    </row>
    <row r="20" spans="1:16" ht="18.600000000000001" thickBot="1" x14ac:dyDescent="0.35">
      <c r="A20" s="85" t="s">
        <v>10</v>
      </c>
      <c r="B20" s="86"/>
      <c r="C20" s="86"/>
      <c r="D20" s="86"/>
      <c r="E20" s="86"/>
      <c r="F20" s="86"/>
      <c r="G20" s="86"/>
      <c r="H20" s="86"/>
      <c r="I20" s="87"/>
      <c r="K20" s="20"/>
      <c r="L20" s="16"/>
      <c r="M20" s="8"/>
      <c r="N20" s="8"/>
      <c r="O20" s="8"/>
      <c r="P20" s="17"/>
    </row>
    <row r="21" spans="1:16" ht="16.2" thickBot="1" x14ac:dyDescent="0.35">
      <c r="A21" s="88"/>
      <c r="B21" s="89"/>
      <c r="C21" s="89"/>
      <c r="D21" s="89"/>
      <c r="E21" s="89"/>
      <c r="F21" s="89"/>
      <c r="G21" s="89"/>
      <c r="H21" s="89"/>
      <c r="I21" s="90"/>
      <c r="K21" s="15" t="s">
        <v>46</v>
      </c>
      <c r="L21" s="15">
        <f>(L18*L19)+L18</f>
        <v>38.230136999999999</v>
      </c>
      <c r="M21" s="8"/>
      <c r="N21" s="8"/>
      <c r="O21" s="8"/>
      <c r="P21" s="17"/>
    </row>
    <row r="22" spans="1:16" ht="15" thickBot="1" x14ac:dyDescent="0.35">
      <c r="A22" s="88"/>
      <c r="B22" s="89"/>
      <c r="C22" s="89"/>
      <c r="D22" s="89"/>
      <c r="E22" s="89"/>
      <c r="F22" s="89"/>
      <c r="G22" s="89"/>
      <c r="H22" s="89"/>
      <c r="I22" s="90"/>
      <c r="K22" s="24"/>
      <c r="L22" s="25"/>
      <c r="M22" s="21"/>
      <c r="N22" s="21"/>
      <c r="O22" s="21"/>
      <c r="P22" s="22"/>
    </row>
    <row r="23" spans="1:16" x14ac:dyDescent="0.3">
      <c r="A23" s="88"/>
      <c r="B23" s="89"/>
      <c r="C23" s="89"/>
      <c r="D23" s="89"/>
      <c r="E23" s="89"/>
      <c r="F23" s="89"/>
      <c r="G23" s="89"/>
      <c r="H23" s="89"/>
      <c r="I23" s="90"/>
      <c r="O23" s="6"/>
      <c r="P23" s="6"/>
    </row>
    <row r="24" spans="1:16" x14ac:dyDescent="0.3">
      <c r="A24" s="88"/>
      <c r="B24" s="89"/>
      <c r="C24" s="89"/>
      <c r="D24" s="89"/>
      <c r="E24" s="89"/>
      <c r="F24" s="89"/>
      <c r="G24" s="89"/>
      <c r="H24" s="89"/>
      <c r="I24" s="90"/>
      <c r="O24" s="6"/>
      <c r="P24" s="6"/>
    </row>
    <row r="25" spans="1:16" x14ac:dyDescent="0.3">
      <c r="A25" s="88"/>
      <c r="B25" s="89"/>
      <c r="C25" s="89"/>
      <c r="D25" s="89"/>
      <c r="E25" s="89"/>
      <c r="F25" s="89"/>
      <c r="G25" s="89"/>
      <c r="H25" s="89"/>
      <c r="I25" s="90"/>
    </row>
    <row r="26" spans="1:16" x14ac:dyDescent="0.3">
      <c r="A26" s="88"/>
      <c r="B26" s="89"/>
      <c r="C26" s="89"/>
      <c r="D26" s="89"/>
      <c r="E26" s="89"/>
      <c r="F26" s="89"/>
      <c r="G26" s="89"/>
      <c r="H26" s="89"/>
      <c r="I26" s="90"/>
    </row>
    <row r="27" spans="1:16" x14ac:dyDescent="0.3">
      <c r="A27" s="88"/>
      <c r="B27" s="89"/>
      <c r="C27" s="89"/>
      <c r="D27" s="89"/>
      <c r="E27" s="89"/>
      <c r="F27" s="89"/>
      <c r="G27" s="89"/>
      <c r="H27" s="89"/>
      <c r="I27" s="90"/>
    </row>
    <row r="28" spans="1:16" ht="15" thickBot="1" x14ac:dyDescent="0.35">
      <c r="A28" s="79"/>
      <c r="B28" s="80"/>
      <c r="C28" s="80"/>
      <c r="D28" s="80"/>
      <c r="E28" s="80"/>
      <c r="F28" s="80"/>
      <c r="G28" s="80"/>
      <c r="H28" s="80"/>
      <c r="I28" s="81"/>
    </row>
  </sheetData>
  <mergeCells count="39">
    <mergeCell ref="A1:I3"/>
    <mergeCell ref="B4:I4"/>
    <mergeCell ref="B5:I5"/>
    <mergeCell ref="B8:I8"/>
    <mergeCell ref="B9:I9"/>
    <mergeCell ref="A6:A7"/>
    <mergeCell ref="B6:D6"/>
    <mergeCell ref="E6:F6"/>
    <mergeCell ref="G6:I6"/>
    <mergeCell ref="B7:D7"/>
    <mergeCell ref="E7:F7"/>
    <mergeCell ref="G7:I7"/>
    <mergeCell ref="A28:I28"/>
    <mergeCell ref="B16:I16"/>
    <mergeCell ref="B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B17:I17"/>
    <mergeCell ref="K1:P3"/>
    <mergeCell ref="K4:K5"/>
    <mergeCell ref="K6:L6"/>
    <mergeCell ref="M6:N6"/>
    <mergeCell ref="K12:L12"/>
    <mergeCell ref="B13:I13"/>
    <mergeCell ref="B14:I14"/>
    <mergeCell ref="B15:I15"/>
    <mergeCell ref="B11:I11"/>
    <mergeCell ref="B10:C10"/>
    <mergeCell ref="D10:E10"/>
    <mergeCell ref="F10:G10"/>
    <mergeCell ref="H10:I10"/>
    <mergeCell ref="B12:I12"/>
  </mergeCells>
  <pageMargins left="0.7" right="0.7" top="0.75" bottom="0.75" header="0.3" footer="0.3"/>
  <pageSetup paperSize="9" scale="5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'SİPARİŞ OLIŞTURMA VERİ DOSYASI'!$H$2</xm:f>
          </x14:formula1>
          <xm:sqref>B9:I9</xm:sqref>
        </x14:dataValidation>
        <x14:dataValidation type="list" allowBlank="1" showInputMessage="1" showErrorMessage="1">
          <x14:formula1>
            <xm:f>'SİPARİŞ OLIŞTURMA VERİ DOSYASI'!$I$2:$I$22</xm:f>
          </x14:formula1>
          <xm:sqref>H10:I10</xm:sqref>
        </x14:dataValidation>
        <x14:dataValidation type="list" allowBlank="1" showInputMessage="1" showErrorMessage="1">
          <x14:formula1>
            <xm:f>'SİPARİŞ OLIŞTURMA VERİ DOSYASI'!$K$2:$K$3</xm:f>
          </x14:formula1>
          <xm:sqref>B15:I15</xm:sqref>
        </x14:dataValidation>
        <x14:dataValidation type="list" allowBlank="1" showInputMessage="1" showErrorMessage="1">
          <x14:formula1>
            <xm:f>'SİPARİŞ OLIŞTURMA VERİ DOSYASI'!$L$2:$L$3</xm:f>
          </x14:formula1>
          <xm:sqref>B18:I18</xm:sqref>
        </x14:dataValidation>
        <x14:dataValidation type="list" allowBlank="1" showInputMessage="1" showErrorMessage="1">
          <x14:formula1>
            <xm:f>'SİPARİŞ OLIŞTURMA VERİ DOSYASI'!$J$2:$J$3</xm:f>
          </x14:formula1>
          <xm:sqref>B11:I11</xm:sqref>
        </x14:dataValidation>
        <x14:dataValidation type="list" allowBlank="1" showInputMessage="1" showErrorMessage="1">
          <x14:formula1>
            <xm:f>'KOLİ HESAPLAMA VERİ DOSYASI'!$A$2:$A$3</xm:f>
          </x14:formula1>
          <xm:sqref>N7</xm:sqref>
        </x14:dataValidation>
        <x14:dataValidation type="list" allowBlank="1" showInputMessage="1" showErrorMessage="1">
          <x14:formula1>
            <xm:f>'SİPARİŞ OLIŞTURMA VERİ DOSYASI'!$G$2:$G$64</xm:f>
          </x14:formula1>
          <xm:sqref>B8:I8</xm:sqref>
        </x14:dataValidation>
        <x14:dataValidation type="list" allowBlank="1" showInputMessage="1" showErrorMessage="1">
          <x14:formula1>
            <xm:f>'SİPARİŞ OLIŞTURMA VERİ DOSYASI'!$I$2:$I$22</xm:f>
          </x14:formula1>
          <xm:sqref>B10:C10 D10:E10 F10:G10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G22" workbookViewId="0">
      <selection activeCell="I38" sqref="I38"/>
    </sheetView>
  </sheetViews>
  <sheetFormatPr defaultRowHeight="14.4" x14ac:dyDescent="0.3"/>
  <cols>
    <col min="1" max="6" width="0" style="47" hidden="1" customWidth="1"/>
    <col min="7" max="7" width="31.44140625" style="47" bestFit="1" customWidth="1"/>
    <col min="8" max="8" width="13.6640625" style="47" bestFit="1" customWidth="1"/>
    <col min="9" max="9" width="14.109375" style="47" bestFit="1" customWidth="1"/>
    <col min="10" max="10" width="16" style="47" bestFit="1" customWidth="1"/>
    <col min="11" max="11" width="24.33203125" style="47" bestFit="1" customWidth="1"/>
    <col min="12" max="12" width="31.5546875" style="47" bestFit="1" customWidth="1"/>
    <col min="13" max="13" width="8.88671875" style="47"/>
    <col min="14" max="14" width="19.5546875" style="47" bestFit="1" customWidth="1"/>
    <col min="15" max="16384" width="8.88671875" style="47"/>
  </cols>
  <sheetData>
    <row r="1" spans="1:12" ht="18" x14ac:dyDescent="0.35">
      <c r="A1" s="46"/>
      <c r="B1" s="46"/>
      <c r="C1" s="46"/>
      <c r="D1" s="46"/>
      <c r="E1" s="46"/>
      <c r="F1" s="46"/>
      <c r="G1" s="3" t="s">
        <v>12</v>
      </c>
      <c r="H1" s="44" t="s">
        <v>13</v>
      </c>
      <c r="I1" s="3" t="s">
        <v>3</v>
      </c>
      <c r="J1" s="4" t="s">
        <v>28</v>
      </c>
      <c r="K1" s="3" t="s">
        <v>14</v>
      </c>
      <c r="L1" s="3" t="s">
        <v>15</v>
      </c>
    </row>
    <row r="2" spans="1:12" x14ac:dyDescent="0.3">
      <c r="A2" s="48" t="s">
        <v>55</v>
      </c>
      <c r="B2" s="48" t="s">
        <v>56</v>
      </c>
      <c r="C2" s="48" t="s">
        <v>57</v>
      </c>
      <c r="D2" s="48" t="s">
        <v>58</v>
      </c>
      <c r="E2" s="46"/>
      <c r="F2" s="46"/>
      <c r="G2" s="46" t="str">
        <f>B2&amp;"/"&amp;C2&amp;"/"&amp;D2&amp;" - "&amp;A2</f>
        <v>B120/S080/T090 - B</v>
      </c>
      <c r="H2" s="45" t="s">
        <v>20</v>
      </c>
      <c r="I2" s="46" t="s">
        <v>16</v>
      </c>
      <c r="J2" s="5" t="s">
        <v>30</v>
      </c>
      <c r="K2" s="5" t="s">
        <v>31</v>
      </c>
      <c r="L2" s="5" t="s">
        <v>33</v>
      </c>
    </row>
    <row r="3" spans="1:12" x14ac:dyDescent="0.3">
      <c r="A3" s="48" t="s">
        <v>55</v>
      </c>
      <c r="B3" s="48" t="s">
        <v>56</v>
      </c>
      <c r="C3" s="48" t="s">
        <v>59</v>
      </c>
      <c r="D3" s="48" t="s">
        <v>60</v>
      </c>
      <c r="E3" s="46"/>
      <c r="F3" s="46"/>
      <c r="G3" s="46" t="str">
        <f t="shared" ref="G3:G30" si="0">B3&amp;"/"&amp;C3&amp;"/"&amp;D3&amp;" - "&amp;A3</f>
        <v>B120/S135/MK135 - B</v>
      </c>
      <c r="H3" s="45"/>
      <c r="I3" s="46" t="s">
        <v>17</v>
      </c>
      <c r="J3" s="5" t="s">
        <v>29</v>
      </c>
      <c r="K3" s="5" t="s">
        <v>32</v>
      </c>
      <c r="L3" s="5" t="s">
        <v>34</v>
      </c>
    </row>
    <row r="4" spans="1:12" x14ac:dyDescent="0.3">
      <c r="A4" s="48" t="s">
        <v>55</v>
      </c>
      <c r="B4" s="48" t="s">
        <v>56</v>
      </c>
      <c r="C4" s="48" t="s">
        <v>59</v>
      </c>
      <c r="D4" s="48" t="s">
        <v>58</v>
      </c>
      <c r="E4" s="46"/>
      <c r="F4" s="46"/>
      <c r="G4" s="46" t="str">
        <f t="shared" si="0"/>
        <v>B120/S135/T090 - B</v>
      </c>
      <c r="H4" s="45"/>
      <c r="I4" s="46" t="s">
        <v>18</v>
      </c>
      <c r="J4" s="5"/>
      <c r="K4" s="5"/>
      <c r="L4" s="5"/>
    </row>
    <row r="5" spans="1:12" x14ac:dyDescent="0.3">
      <c r="A5" s="48" t="s">
        <v>55</v>
      </c>
      <c r="B5" s="48" t="s">
        <v>61</v>
      </c>
      <c r="C5" s="48" t="s">
        <v>57</v>
      </c>
      <c r="D5" s="48" t="s">
        <v>58</v>
      </c>
      <c r="E5" s="46"/>
      <c r="F5" s="46"/>
      <c r="G5" s="46" t="str">
        <f t="shared" si="0"/>
        <v>MK110/S080/T090 - B</v>
      </c>
      <c r="H5" s="45"/>
      <c r="I5" s="46" t="s">
        <v>19</v>
      </c>
      <c r="J5" s="5"/>
      <c r="K5" s="5"/>
      <c r="L5" s="5"/>
    </row>
    <row r="6" spans="1:12" x14ac:dyDescent="0.3">
      <c r="A6" s="48" t="s">
        <v>55</v>
      </c>
      <c r="B6" s="48" t="s">
        <v>61</v>
      </c>
      <c r="C6" s="48" t="s">
        <v>59</v>
      </c>
      <c r="D6" s="48" t="s">
        <v>61</v>
      </c>
      <c r="E6" s="46"/>
      <c r="F6" s="46"/>
      <c r="G6" s="46" t="str">
        <f t="shared" si="0"/>
        <v>MK110/S135/MK110 - B</v>
      </c>
      <c r="H6" s="45"/>
      <c r="I6" s="46" t="s">
        <v>21</v>
      </c>
      <c r="J6" s="5"/>
      <c r="K6" s="5"/>
      <c r="L6" s="5"/>
    </row>
    <row r="7" spans="1:12" x14ac:dyDescent="0.3">
      <c r="A7" s="48" t="s">
        <v>55</v>
      </c>
      <c r="B7" s="48" t="s">
        <v>60</v>
      </c>
      <c r="C7" s="48" t="s">
        <v>59</v>
      </c>
      <c r="D7" s="48" t="s">
        <v>60</v>
      </c>
      <c r="E7" s="46"/>
      <c r="F7" s="46"/>
      <c r="G7" s="46" t="str">
        <f t="shared" si="0"/>
        <v>MK135/S135/MK135 - B</v>
      </c>
      <c r="H7" s="45"/>
      <c r="I7" s="46" t="s">
        <v>73</v>
      </c>
      <c r="J7" s="5"/>
      <c r="K7" s="5"/>
      <c r="L7" s="5"/>
    </row>
    <row r="8" spans="1:12" x14ac:dyDescent="0.3">
      <c r="A8" s="48" t="s">
        <v>55</v>
      </c>
      <c r="B8" s="48" t="s">
        <v>58</v>
      </c>
      <c r="C8" s="48" t="s">
        <v>57</v>
      </c>
      <c r="D8" s="48" t="s">
        <v>58</v>
      </c>
      <c r="E8" s="46"/>
      <c r="F8" s="46"/>
      <c r="G8" s="46" t="str">
        <f t="shared" si="0"/>
        <v>T090/S080/T090 - B</v>
      </c>
      <c r="H8" s="45"/>
      <c r="I8" s="46" t="s">
        <v>74</v>
      </c>
      <c r="J8" s="5"/>
      <c r="K8" s="5"/>
      <c r="L8" s="5"/>
    </row>
    <row r="9" spans="1:12" x14ac:dyDescent="0.3">
      <c r="A9" s="48" t="s">
        <v>62</v>
      </c>
      <c r="B9" s="48" t="s">
        <v>56</v>
      </c>
      <c r="C9" s="48" t="s">
        <v>59</v>
      </c>
      <c r="D9" s="48" t="s">
        <v>58</v>
      </c>
      <c r="E9" s="46"/>
      <c r="F9" s="46"/>
      <c r="G9" s="46" t="str">
        <f t="shared" si="0"/>
        <v>B120/S135/T090 - C</v>
      </c>
      <c r="H9" s="45"/>
      <c r="I9" s="46" t="s">
        <v>22</v>
      </c>
      <c r="J9" s="5"/>
      <c r="K9" s="5"/>
      <c r="L9" s="5"/>
    </row>
    <row r="10" spans="1:12" x14ac:dyDescent="0.3">
      <c r="A10" s="48" t="s">
        <v>62</v>
      </c>
      <c r="B10" s="48" t="s">
        <v>63</v>
      </c>
      <c r="C10" s="48" t="s">
        <v>57</v>
      </c>
      <c r="D10" s="48" t="s">
        <v>58</v>
      </c>
      <c r="E10" s="46"/>
      <c r="F10" s="46"/>
      <c r="G10" s="46" t="str">
        <f t="shared" si="0"/>
        <v>B125/S080/T090 - C</v>
      </c>
      <c r="H10" s="45"/>
      <c r="I10" s="46" t="s">
        <v>23</v>
      </c>
      <c r="J10" s="5"/>
      <c r="K10" s="5"/>
      <c r="L10" s="5"/>
    </row>
    <row r="11" spans="1:12" x14ac:dyDescent="0.3">
      <c r="A11" s="48" t="s">
        <v>62</v>
      </c>
      <c r="B11" s="48" t="s">
        <v>64</v>
      </c>
      <c r="C11" s="48" t="s">
        <v>59</v>
      </c>
      <c r="D11" s="48" t="s">
        <v>61</v>
      </c>
      <c r="E11" s="46"/>
      <c r="F11" s="46"/>
      <c r="G11" s="46" t="str">
        <f t="shared" si="0"/>
        <v>KR100/S135/MK110 - C</v>
      </c>
      <c r="H11" s="45"/>
      <c r="I11" s="46" t="s">
        <v>24</v>
      </c>
      <c r="J11" s="5"/>
      <c r="K11" s="5"/>
      <c r="L11" s="5"/>
    </row>
    <row r="12" spans="1:12" x14ac:dyDescent="0.3">
      <c r="A12" s="48" t="s">
        <v>62</v>
      </c>
      <c r="B12" s="48" t="s">
        <v>65</v>
      </c>
      <c r="C12" s="48" t="s">
        <v>59</v>
      </c>
      <c r="D12" s="48" t="s">
        <v>60</v>
      </c>
      <c r="E12" s="46"/>
      <c r="F12" s="46"/>
      <c r="G12" s="46" t="str">
        <f t="shared" si="0"/>
        <v>KR135/S135/MK135 - C</v>
      </c>
      <c r="H12" s="45"/>
      <c r="I12" s="46" t="s">
        <v>75</v>
      </c>
      <c r="J12" s="5"/>
      <c r="K12" s="5"/>
      <c r="L12" s="5"/>
    </row>
    <row r="13" spans="1:12" x14ac:dyDescent="0.3">
      <c r="A13" s="48" t="s">
        <v>62</v>
      </c>
      <c r="B13" s="48" t="s">
        <v>61</v>
      </c>
      <c r="C13" s="48" t="s">
        <v>57</v>
      </c>
      <c r="D13" s="48" t="s">
        <v>58</v>
      </c>
      <c r="E13" s="46"/>
      <c r="F13" s="46"/>
      <c r="G13" s="46" t="str">
        <f t="shared" si="0"/>
        <v>MK110/S080/T090 - C</v>
      </c>
      <c r="H13" s="45"/>
      <c r="I13" s="46" t="s">
        <v>76</v>
      </c>
      <c r="J13" s="5"/>
      <c r="K13" s="5"/>
      <c r="L13" s="5"/>
    </row>
    <row r="14" spans="1:12" x14ac:dyDescent="0.3">
      <c r="A14" s="48" t="s">
        <v>62</v>
      </c>
      <c r="B14" s="48" t="s">
        <v>61</v>
      </c>
      <c r="C14" s="48" t="s">
        <v>66</v>
      </c>
      <c r="D14" s="48" t="s">
        <v>61</v>
      </c>
      <c r="E14" s="46"/>
      <c r="F14" s="46"/>
      <c r="G14" s="46" t="str">
        <f t="shared" si="0"/>
        <v>MK110/S120/MK110 - C</v>
      </c>
      <c r="H14" s="45"/>
      <c r="I14" s="46" t="s">
        <v>25</v>
      </c>
      <c r="J14" s="5"/>
      <c r="K14" s="5"/>
      <c r="L14" s="5"/>
    </row>
    <row r="15" spans="1:12" x14ac:dyDescent="0.3">
      <c r="A15" s="48" t="s">
        <v>62</v>
      </c>
      <c r="B15" s="48" t="s">
        <v>61</v>
      </c>
      <c r="C15" s="48" t="s">
        <v>59</v>
      </c>
      <c r="D15" s="48" t="s">
        <v>61</v>
      </c>
      <c r="E15" s="46"/>
      <c r="F15" s="46"/>
      <c r="G15" s="46" t="str">
        <f t="shared" si="0"/>
        <v>MK110/S135/MK110 - C</v>
      </c>
      <c r="H15" s="45"/>
      <c r="I15" s="46" t="s">
        <v>26</v>
      </c>
      <c r="J15" s="5"/>
      <c r="K15" s="5"/>
      <c r="L15" s="5"/>
    </row>
    <row r="16" spans="1:12" x14ac:dyDescent="0.3">
      <c r="A16" s="48" t="s">
        <v>62</v>
      </c>
      <c r="B16" s="48" t="s">
        <v>61</v>
      </c>
      <c r="C16" s="48" t="s">
        <v>67</v>
      </c>
      <c r="D16" s="48" t="s">
        <v>61</v>
      </c>
      <c r="E16" s="46"/>
      <c r="F16" s="46"/>
      <c r="G16" s="46" t="str">
        <f t="shared" si="0"/>
        <v>MK110/S175/MK110 - C</v>
      </c>
      <c r="H16" s="45"/>
      <c r="I16" s="46" t="s">
        <v>27</v>
      </c>
      <c r="J16" s="5"/>
      <c r="K16" s="5"/>
      <c r="L16" s="5"/>
    </row>
    <row r="17" spans="1:12" x14ac:dyDescent="0.3">
      <c r="A17" s="48" t="s">
        <v>62</v>
      </c>
      <c r="B17" s="48" t="s">
        <v>60</v>
      </c>
      <c r="C17" s="48" t="s">
        <v>59</v>
      </c>
      <c r="D17" s="48" t="s">
        <v>60</v>
      </c>
      <c r="E17" s="46"/>
      <c r="F17" s="46"/>
      <c r="G17" s="46" t="str">
        <f t="shared" si="0"/>
        <v>MK135/S135/MK135 - C</v>
      </c>
      <c r="H17" s="45"/>
      <c r="I17" s="46" t="s">
        <v>77</v>
      </c>
      <c r="J17" s="5"/>
      <c r="K17" s="5"/>
      <c r="L17" s="5"/>
    </row>
    <row r="18" spans="1:12" x14ac:dyDescent="0.3">
      <c r="A18" s="48" t="s">
        <v>62</v>
      </c>
      <c r="B18" s="48" t="s">
        <v>60</v>
      </c>
      <c r="C18" s="48" t="s">
        <v>67</v>
      </c>
      <c r="D18" s="48" t="s">
        <v>60</v>
      </c>
      <c r="E18" s="46"/>
      <c r="F18" s="46"/>
      <c r="G18" s="46" t="str">
        <f t="shared" si="0"/>
        <v>MK135/S175/MK135 - C</v>
      </c>
      <c r="H18" s="45"/>
      <c r="I18" s="46" t="s">
        <v>78</v>
      </c>
      <c r="J18" s="5"/>
      <c r="K18" s="5"/>
      <c r="L18" s="5"/>
    </row>
    <row r="19" spans="1:12" x14ac:dyDescent="0.3">
      <c r="A19" s="48" t="s">
        <v>62</v>
      </c>
      <c r="B19" s="48" t="s">
        <v>58</v>
      </c>
      <c r="C19" s="48" t="s">
        <v>57</v>
      </c>
      <c r="D19" s="48" t="s">
        <v>58</v>
      </c>
      <c r="E19" s="46"/>
      <c r="F19" s="46"/>
      <c r="G19" s="46" t="str">
        <f t="shared" si="0"/>
        <v>T090/S080/T090 - C</v>
      </c>
      <c r="H19" s="45"/>
      <c r="I19" s="46" t="s">
        <v>79</v>
      </c>
      <c r="J19" s="5"/>
      <c r="K19" s="5"/>
      <c r="L19" s="5"/>
    </row>
    <row r="20" spans="1:12" x14ac:dyDescent="0.3">
      <c r="A20" s="48" t="s">
        <v>68</v>
      </c>
      <c r="B20" s="48" t="s">
        <v>56</v>
      </c>
      <c r="C20" s="48" t="s">
        <v>57</v>
      </c>
      <c r="D20" s="46"/>
      <c r="E20" s="46"/>
      <c r="F20" s="46"/>
      <c r="G20" s="46" t="str">
        <f t="shared" si="0"/>
        <v>B120/S080/ - E</v>
      </c>
      <c r="H20" s="45"/>
      <c r="I20" s="46" t="s">
        <v>80</v>
      </c>
      <c r="J20" s="5"/>
      <c r="K20" s="5"/>
      <c r="L20" s="5"/>
    </row>
    <row r="21" spans="1:12" x14ac:dyDescent="0.3">
      <c r="A21" s="48" t="s">
        <v>68</v>
      </c>
      <c r="B21" s="48" t="s">
        <v>56</v>
      </c>
      <c r="C21" s="48" t="s">
        <v>57</v>
      </c>
      <c r="D21" s="48" t="s">
        <v>58</v>
      </c>
      <c r="E21" s="46"/>
      <c r="F21" s="46"/>
      <c r="G21" s="46" t="str">
        <f t="shared" si="0"/>
        <v>B120/S080/T090 - E</v>
      </c>
      <c r="H21" s="45"/>
      <c r="I21" s="46" t="s">
        <v>81</v>
      </c>
      <c r="J21" s="5"/>
      <c r="K21" s="5"/>
      <c r="L21" s="5"/>
    </row>
    <row r="22" spans="1:12" x14ac:dyDescent="0.3">
      <c r="A22" s="48" t="s">
        <v>68</v>
      </c>
      <c r="B22" s="48" t="s">
        <v>63</v>
      </c>
      <c r="C22" s="48" t="s">
        <v>66</v>
      </c>
      <c r="D22" s="46"/>
      <c r="E22" s="46"/>
      <c r="F22" s="46"/>
      <c r="G22" s="46" t="str">
        <f t="shared" si="0"/>
        <v>B125/S120/ - E</v>
      </c>
      <c r="H22" s="45"/>
      <c r="I22" s="46" t="s">
        <v>82</v>
      </c>
      <c r="J22" s="5"/>
      <c r="K22" s="5"/>
      <c r="L22" s="5"/>
    </row>
    <row r="23" spans="1:12" x14ac:dyDescent="0.3">
      <c r="A23" s="48" t="s">
        <v>68</v>
      </c>
      <c r="B23" s="48" t="s">
        <v>61</v>
      </c>
      <c r="C23" s="48" t="s">
        <v>57</v>
      </c>
      <c r="D23" s="48" t="s">
        <v>58</v>
      </c>
      <c r="E23" s="46"/>
      <c r="F23" s="46"/>
      <c r="G23" s="46" t="str">
        <f t="shared" si="0"/>
        <v>MK110/S080/T090 - E</v>
      </c>
      <c r="H23" s="45"/>
      <c r="I23" s="5"/>
      <c r="J23" s="5"/>
      <c r="K23" s="5"/>
      <c r="L23" s="5"/>
    </row>
    <row r="24" spans="1:12" x14ac:dyDescent="0.3">
      <c r="A24" s="48" t="s">
        <v>68</v>
      </c>
      <c r="B24" s="48" t="s">
        <v>61</v>
      </c>
      <c r="C24" s="48" t="s">
        <v>66</v>
      </c>
      <c r="D24" s="48" t="s">
        <v>61</v>
      </c>
      <c r="E24" s="46"/>
      <c r="F24" s="46"/>
      <c r="G24" s="46" t="str">
        <f t="shared" si="0"/>
        <v>MK110/S120/MK110 - E</v>
      </c>
      <c r="H24" s="45"/>
      <c r="I24" s="5"/>
      <c r="J24" s="5"/>
      <c r="K24" s="5"/>
      <c r="L24" s="5"/>
    </row>
    <row r="25" spans="1:12" x14ac:dyDescent="0.3">
      <c r="A25" s="48" t="s">
        <v>68</v>
      </c>
      <c r="B25" s="48" t="s">
        <v>61</v>
      </c>
      <c r="C25" s="48" t="s">
        <v>69</v>
      </c>
      <c r="D25" s="48" t="s">
        <v>58</v>
      </c>
      <c r="E25" s="46"/>
      <c r="F25" s="46"/>
      <c r="G25" s="46" t="str">
        <f t="shared" si="0"/>
        <v>MK110/S125/T090 - E</v>
      </c>
      <c r="H25" s="45"/>
      <c r="I25" s="5"/>
      <c r="J25" s="5"/>
      <c r="K25" s="5"/>
      <c r="L25" s="5"/>
    </row>
    <row r="26" spans="1:12" x14ac:dyDescent="0.3">
      <c r="A26" s="48" t="s">
        <v>68</v>
      </c>
      <c r="B26" s="48" t="s">
        <v>60</v>
      </c>
      <c r="C26" s="48" t="s">
        <v>59</v>
      </c>
      <c r="D26" s="48" t="s">
        <v>60</v>
      </c>
      <c r="E26" s="46"/>
      <c r="F26" s="46"/>
      <c r="G26" s="46" t="str">
        <f t="shared" si="0"/>
        <v>MK135/S135/MK135 - E</v>
      </c>
      <c r="H26" s="45"/>
      <c r="I26" s="5"/>
      <c r="J26" s="5"/>
      <c r="K26" s="5"/>
      <c r="L26" s="5"/>
    </row>
    <row r="27" spans="1:12" x14ac:dyDescent="0.3">
      <c r="A27" s="48" t="s">
        <v>68</v>
      </c>
      <c r="B27" s="48" t="s">
        <v>58</v>
      </c>
      <c r="C27" s="48" t="s">
        <v>57</v>
      </c>
      <c r="D27" s="46"/>
      <c r="E27" s="46"/>
      <c r="F27" s="46"/>
      <c r="G27" s="46" t="str">
        <f t="shared" si="0"/>
        <v>T090/S080/ - E</v>
      </c>
      <c r="H27" s="45"/>
      <c r="I27" s="5"/>
      <c r="J27" s="5"/>
      <c r="K27" s="5"/>
      <c r="L27" s="5"/>
    </row>
    <row r="28" spans="1:12" x14ac:dyDescent="0.3">
      <c r="A28" s="48" t="s">
        <v>68</v>
      </c>
      <c r="B28" s="48" t="s">
        <v>58</v>
      </c>
      <c r="C28" s="48" t="s">
        <v>57</v>
      </c>
      <c r="D28" s="48" t="s">
        <v>58</v>
      </c>
      <c r="E28" s="46"/>
      <c r="F28" s="46"/>
      <c r="G28" s="46" t="str">
        <f t="shared" si="0"/>
        <v>T090/S080/T090 - E</v>
      </c>
      <c r="H28" s="45"/>
      <c r="I28" s="5"/>
      <c r="J28" s="5"/>
      <c r="K28" s="5"/>
      <c r="L28" s="5"/>
    </row>
    <row r="29" spans="1:12" x14ac:dyDescent="0.3">
      <c r="A29" s="48" t="s">
        <v>68</v>
      </c>
      <c r="B29" s="48" t="s">
        <v>58</v>
      </c>
      <c r="C29" s="48" t="s">
        <v>66</v>
      </c>
      <c r="D29" s="46"/>
      <c r="E29" s="46"/>
      <c r="F29" s="46"/>
      <c r="G29" s="46" t="str">
        <f t="shared" si="0"/>
        <v>T090/S120/ - E</v>
      </c>
      <c r="H29" s="45"/>
      <c r="I29" s="5"/>
      <c r="J29" s="5"/>
      <c r="K29" s="5"/>
      <c r="L29" s="5"/>
    </row>
    <row r="30" spans="1:12" x14ac:dyDescent="0.3">
      <c r="A30" s="48" t="s">
        <v>68</v>
      </c>
      <c r="B30" s="48" t="s">
        <v>58</v>
      </c>
      <c r="C30" s="48" t="s">
        <v>59</v>
      </c>
      <c r="D30" s="46"/>
      <c r="E30" s="46"/>
      <c r="F30" s="46"/>
      <c r="G30" s="46" t="str">
        <f t="shared" si="0"/>
        <v>T090/S135/ - E</v>
      </c>
      <c r="H30" s="45"/>
      <c r="I30" s="5"/>
      <c r="J30" s="5"/>
      <c r="K30" s="5"/>
      <c r="L30" s="5"/>
    </row>
    <row r="31" spans="1:12" x14ac:dyDescent="0.3">
      <c r="A31" s="48" t="s">
        <v>70</v>
      </c>
      <c r="B31" s="48" t="s">
        <v>56</v>
      </c>
      <c r="C31" s="48" t="s">
        <v>57</v>
      </c>
      <c r="D31" s="48" t="s">
        <v>57</v>
      </c>
      <c r="E31" s="48" t="s">
        <v>57</v>
      </c>
      <c r="F31" s="48" t="s">
        <v>61</v>
      </c>
      <c r="G31" s="46" t="str">
        <f>B31&amp;"/"&amp;C31&amp;"/"&amp;D31&amp;"/"&amp;E31&amp;"/"&amp;F31&amp;" - "&amp;A31</f>
        <v>B120/S080/S080/S080/MK110 - BC</v>
      </c>
      <c r="H31" s="45"/>
      <c r="I31" s="5"/>
      <c r="J31" s="5"/>
      <c r="K31" s="5"/>
      <c r="L31" s="5"/>
    </row>
    <row r="32" spans="1:12" x14ac:dyDescent="0.3">
      <c r="A32" s="48" t="s">
        <v>70</v>
      </c>
      <c r="B32" s="48" t="s">
        <v>56</v>
      </c>
      <c r="C32" s="48" t="s">
        <v>57</v>
      </c>
      <c r="D32" s="48" t="s">
        <v>57</v>
      </c>
      <c r="E32" s="48" t="s">
        <v>57</v>
      </c>
      <c r="F32" s="48" t="s">
        <v>58</v>
      </c>
      <c r="G32" s="46" t="str">
        <f t="shared" ref="G32:G64" si="1">B32&amp;"/"&amp;C32&amp;"/"&amp;D32&amp;"/"&amp;E32&amp;"/"&amp;F32&amp;" - "&amp;A32</f>
        <v>B120/S080/S080/S080/T090 - BC</v>
      </c>
      <c r="H32" s="45"/>
      <c r="I32" s="5"/>
      <c r="J32" s="5"/>
      <c r="K32" s="5"/>
      <c r="L32" s="5"/>
    </row>
    <row r="33" spans="1:12" x14ac:dyDescent="0.3">
      <c r="A33" s="48"/>
      <c r="B33" s="48"/>
      <c r="C33" s="48"/>
      <c r="D33" s="48"/>
      <c r="E33" s="48"/>
      <c r="F33" s="48"/>
      <c r="G33" s="46" t="s">
        <v>83</v>
      </c>
      <c r="H33" s="26"/>
      <c r="I33" s="26"/>
      <c r="J33" s="26"/>
      <c r="K33" s="26"/>
      <c r="L33" s="26"/>
    </row>
    <row r="34" spans="1:12" x14ac:dyDescent="0.3">
      <c r="A34" s="48" t="s">
        <v>70</v>
      </c>
      <c r="B34" s="48" t="s">
        <v>56</v>
      </c>
      <c r="C34" s="48" t="s">
        <v>66</v>
      </c>
      <c r="D34" s="48" t="s">
        <v>57</v>
      </c>
      <c r="E34" s="48" t="s">
        <v>66</v>
      </c>
      <c r="F34" s="48" t="s">
        <v>61</v>
      </c>
      <c r="G34" s="46" t="str">
        <f t="shared" si="1"/>
        <v>B120/S120/S080/S120/MK110 - BC</v>
      </c>
      <c r="H34" s="26"/>
      <c r="I34" s="26"/>
      <c r="J34" s="26"/>
      <c r="K34" s="26"/>
      <c r="L34" s="26"/>
    </row>
    <row r="35" spans="1:12" x14ac:dyDescent="0.3">
      <c r="A35" s="48" t="s">
        <v>70</v>
      </c>
      <c r="B35" s="48" t="s">
        <v>56</v>
      </c>
      <c r="C35" s="48" t="s">
        <v>59</v>
      </c>
      <c r="D35" s="48" t="s">
        <v>57</v>
      </c>
      <c r="E35" s="48" t="s">
        <v>59</v>
      </c>
      <c r="F35" s="48" t="s">
        <v>61</v>
      </c>
      <c r="G35" s="46" t="str">
        <f t="shared" si="1"/>
        <v>B120/S135/S080/S135/MK110 - BC</v>
      </c>
      <c r="H35" s="26"/>
      <c r="I35" s="26"/>
      <c r="J35" s="26"/>
      <c r="K35" s="26"/>
      <c r="L35" s="26"/>
    </row>
    <row r="36" spans="1:12" x14ac:dyDescent="0.3">
      <c r="A36" s="48" t="s">
        <v>70</v>
      </c>
      <c r="B36" s="48" t="s">
        <v>56</v>
      </c>
      <c r="C36" s="48" t="s">
        <v>59</v>
      </c>
      <c r="D36" s="48" t="s">
        <v>66</v>
      </c>
      <c r="E36" s="48" t="s">
        <v>59</v>
      </c>
      <c r="F36" s="48" t="s">
        <v>61</v>
      </c>
      <c r="G36" s="46" t="str">
        <f t="shared" si="1"/>
        <v>B120/S135/S120/S135/MK110 - BC</v>
      </c>
      <c r="H36" s="26"/>
      <c r="I36" s="26"/>
      <c r="J36" s="26"/>
      <c r="K36" s="26"/>
      <c r="L36" s="26"/>
    </row>
    <row r="37" spans="1:12" x14ac:dyDescent="0.3">
      <c r="A37" s="48" t="s">
        <v>70</v>
      </c>
      <c r="B37" s="48" t="s">
        <v>64</v>
      </c>
      <c r="C37" s="48" t="s">
        <v>57</v>
      </c>
      <c r="D37" s="48" t="s">
        <v>57</v>
      </c>
      <c r="E37" s="48" t="s">
        <v>57</v>
      </c>
      <c r="F37" s="48" t="s">
        <v>61</v>
      </c>
      <c r="G37" s="46" t="str">
        <f t="shared" si="1"/>
        <v>KR100/S080/S080/S080/MK110 - BC</v>
      </c>
      <c r="H37" s="26"/>
      <c r="I37" s="26"/>
      <c r="J37" s="26"/>
      <c r="K37" s="26"/>
      <c r="L37" s="26"/>
    </row>
    <row r="38" spans="1:12" x14ac:dyDescent="0.3">
      <c r="A38" s="48" t="s">
        <v>70</v>
      </c>
      <c r="B38" s="48" t="s">
        <v>64</v>
      </c>
      <c r="C38" s="48" t="s">
        <v>57</v>
      </c>
      <c r="D38" s="48" t="s">
        <v>57</v>
      </c>
      <c r="E38" s="48" t="s">
        <v>57</v>
      </c>
      <c r="F38" s="48" t="s">
        <v>58</v>
      </c>
      <c r="G38" s="46" t="str">
        <f t="shared" si="1"/>
        <v>KR100/S080/S080/S080/T090 - BC</v>
      </c>
      <c r="H38" s="26"/>
      <c r="I38" s="26"/>
      <c r="J38" s="26"/>
      <c r="K38" s="26"/>
      <c r="L38" s="26"/>
    </row>
    <row r="39" spans="1:12" x14ac:dyDescent="0.3">
      <c r="A39" s="48" t="s">
        <v>70</v>
      </c>
      <c r="B39" s="48" t="s">
        <v>64</v>
      </c>
      <c r="C39" s="48" t="s">
        <v>66</v>
      </c>
      <c r="D39" s="48" t="s">
        <v>57</v>
      </c>
      <c r="E39" s="48" t="s">
        <v>66</v>
      </c>
      <c r="F39" s="48" t="s">
        <v>58</v>
      </c>
      <c r="G39" s="46" t="str">
        <f t="shared" si="1"/>
        <v>KR100/S120/S080/S120/T090 - BC</v>
      </c>
      <c r="H39" s="26"/>
      <c r="I39" s="26"/>
      <c r="J39" s="26"/>
      <c r="K39" s="26"/>
      <c r="L39" s="26"/>
    </row>
    <row r="40" spans="1:12" x14ac:dyDescent="0.3">
      <c r="A40" s="48" t="s">
        <v>70</v>
      </c>
      <c r="B40" s="48" t="s">
        <v>64</v>
      </c>
      <c r="C40" s="48" t="s">
        <v>59</v>
      </c>
      <c r="D40" s="48" t="s">
        <v>57</v>
      </c>
      <c r="E40" s="48" t="s">
        <v>59</v>
      </c>
      <c r="F40" s="48" t="s">
        <v>61</v>
      </c>
      <c r="G40" s="46" t="str">
        <f t="shared" si="1"/>
        <v>KR100/S135/S080/S135/MK110 - BC</v>
      </c>
      <c r="H40" s="26"/>
      <c r="I40" s="26"/>
      <c r="J40" s="26"/>
      <c r="K40" s="26"/>
      <c r="L40" s="26"/>
    </row>
    <row r="41" spans="1:12" x14ac:dyDescent="0.3">
      <c r="A41" s="48" t="s">
        <v>70</v>
      </c>
      <c r="B41" s="48" t="s">
        <v>65</v>
      </c>
      <c r="C41" s="48" t="s">
        <v>59</v>
      </c>
      <c r="D41" s="48" t="s">
        <v>57</v>
      </c>
      <c r="E41" s="48" t="s">
        <v>59</v>
      </c>
      <c r="F41" s="48" t="s">
        <v>60</v>
      </c>
      <c r="G41" s="46" t="str">
        <f t="shared" si="1"/>
        <v>KR135/S135/S080/S135/MK135 - BC</v>
      </c>
      <c r="H41" s="26"/>
      <c r="I41" s="26"/>
      <c r="J41" s="26"/>
      <c r="K41" s="26"/>
      <c r="L41" s="26"/>
    </row>
    <row r="42" spans="1:12" x14ac:dyDescent="0.3">
      <c r="A42" s="48" t="s">
        <v>70</v>
      </c>
      <c r="B42" s="48" t="s">
        <v>65</v>
      </c>
      <c r="C42" s="48" t="s">
        <v>59</v>
      </c>
      <c r="D42" s="48" t="s">
        <v>66</v>
      </c>
      <c r="E42" s="48" t="s">
        <v>59</v>
      </c>
      <c r="F42" s="48" t="s">
        <v>65</v>
      </c>
      <c r="G42" s="46" t="str">
        <f t="shared" si="1"/>
        <v>KR135/S135/S120/S135/KR135 - BC</v>
      </c>
      <c r="H42" s="26"/>
      <c r="I42" s="26"/>
      <c r="J42" s="26"/>
      <c r="K42" s="26"/>
      <c r="L42" s="26"/>
    </row>
    <row r="43" spans="1:12" x14ac:dyDescent="0.3">
      <c r="A43" s="48" t="s">
        <v>70</v>
      </c>
      <c r="B43" s="48" t="s">
        <v>65</v>
      </c>
      <c r="C43" s="48" t="s">
        <v>67</v>
      </c>
      <c r="D43" s="48" t="s">
        <v>59</v>
      </c>
      <c r="E43" s="48" t="s">
        <v>67</v>
      </c>
      <c r="F43" s="48" t="s">
        <v>65</v>
      </c>
      <c r="G43" s="46" t="str">
        <f t="shared" si="1"/>
        <v>KR135/S175/S135/S175/KR135 - BC</v>
      </c>
      <c r="H43" s="26"/>
      <c r="I43" s="26"/>
      <c r="J43" s="26"/>
      <c r="K43" s="26"/>
      <c r="L43" s="26"/>
    </row>
    <row r="44" spans="1:12" x14ac:dyDescent="0.3">
      <c r="A44" s="48" t="s">
        <v>70</v>
      </c>
      <c r="B44" s="48" t="s">
        <v>61</v>
      </c>
      <c r="C44" s="48" t="s">
        <v>57</v>
      </c>
      <c r="D44" s="48" t="s">
        <v>57</v>
      </c>
      <c r="E44" s="48" t="s">
        <v>57</v>
      </c>
      <c r="F44" s="48" t="s">
        <v>61</v>
      </c>
      <c r="G44" s="46" t="str">
        <f t="shared" si="1"/>
        <v>MK110/S080/S080/S080/MK110 - BC</v>
      </c>
      <c r="H44" s="26"/>
      <c r="I44" s="26"/>
      <c r="J44" s="26"/>
      <c r="K44" s="26"/>
      <c r="L44" s="26"/>
    </row>
    <row r="45" spans="1:12" x14ac:dyDescent="0.3">
      <c r="A45" s="48" t="s">
        <v>70</v>
      </c>
      <c r="B45" s="48" t="s">
        <v>61</v>
      </c>
      <c r="C45" s="48" t="s">
        <v>57</v>
      </c>
      <c r="D45" s="48" t="s">
        <v>57</v>
      </c>
      <c r="E45" s="48" t="s">
        <v>57</v>
      </c>
      <c r="F45" s="48" t="s">
        <v>58</v>
      </c>
      <c r="G45" s="46" t="str">
        <f t="shared" si="1"/>
        <v>MK110/S080/S080/S080/T090 - BC</v>
      </c>
      <c r="H45" s="26"/>
      <c r="I45" s="26"/>
      <c r="J45" s="26"/>
      <c r="K45" s="26"/>
      <c r="L45" s="26"/>
    </row>
    <row r="46" spans="1:12" x14ac:dyDescent="0.3">
      <c r="A46" s="48" t="s">
        <v>70</v>
      </c>
      <c r="B46" s="48" t="s">
        <v>61</v>
      </c>
      <c r="C46" s="48" t="s">
        <v>69</v>
      </c>
      <c r="D46" s="48" t="s">
        <v>57</v>
      </c>
      <c r="E46" s="48" t="s">
        <v>69</v>
      </c>
      <c r="F46" s="48" t="s">
        <v>61</v>
      </c>
      <c r="G46" s="46" t="str">
        <f t="shared" si="1"/>
        <v>MK110/S125/S080/S125/MK110 - BC</v>
      </c>
      <c r="H46" s="26"/>
      <c r="I46" s="26"/>
      <c r="J46" s="26"/>
      <c r="K46" s="26"/>
      <c r="L46" s="26"/>
    </row>
    <row r="47" spans="1:12" x14ac:dyDescent="0.3">
      <c r="A47" s="48" t="s">
        <v>70</v>
      </c>
      <c r="B47" s="48" t="s">
        <v>61</v>
      </c>
      <c r="C47" s="48" t="s">
        <v>69</v>
      </c>
      <c r="D47" s="48" t="s">
        <v>57</v>
      </c>
      <c r="E47" s="48" t="s">
        <v>69</v>
      </c>
      <c r="F47" s="48" t="s">
        <v>58</v>
      </c>
      <c r="G47" s="46" t="str">
        <f t="shared" si="1"/>
        <v>MK110/S125/S080/S125/T090 - BC</v>
      </c>
      <c r="H47" s="26"/>
      <c r="I47" s="26"/>
      <c r="J47" s="26"/>
      <c r="K47" s="26"/>
      <c r="L47" s="26"/>
    </row>
    <row r="48" spans="1:12" x14ac:dyDescent="0.3">
      <c r="A48" s="48" t="s">
        <v>70</v>
      </c>
      <c r="B48" s="48" t="s">
        <v>61</v>
      </c>
      <c r="C48" s="48" t="s">
        <v>59</v>
      </c>
      <c r="D48" s="48" t="s">
        <v>57</v>
      </c>
      <c r="E48" s="48" t="s">
        <v>59</v>
      </c>
      <c r="F48" s="48" t="s">
        <v>61</v>
      </c>
      <c r="G48" s="46" t="str">
        <f t="shared" si="1"/>
        <v>MK110/S135/S080/S135/MK110 - BC</v>
      </c>
      <c r="H48" s="26"/>
      <c r="I48" s="26"/>
      <c r="J48" s="49"/>
      <c r="K48" s="26"/>
      <c r="L48" s="26"/>
    </row>
    <row r="49" spans="1:7" x14ac:dyDescent="0.3">
      <c r="A49" s="48" t="s">
        <v>70</v>
      </c>
      <c r="B49" s="48" t="s">
        <v>61</v>
      </c>
      <c r="C49" s="48" t="s">
        <v>59</v>
      </c>
      <c r="D49" s="48" t="s">
        <v>57</v>
      </c>
      <c r="E49" s="48" t="s">
        <v>59</v>
      </c>
      <c r="F49" s="48" t="s">
        <v>58</v>
      </c>
      <c r="G49" s="46" t="str">
        <f t="shared" si="1"/>
        <v>MK110/S135/S080/S135/T090 - BC</v>
      </c>
    </row>
    <row r="50" spans="1:7" x14ac:dyDescent="0.3">
      <c r="A50" s="48" t="s">
        <v>70</v>
      </c>
      <c r="B50" s="48" t="s">
        <v>60</v>
      </c>
      <c r="C50" s="48" t="s">
        <v>59</v>
      </c>
      <c r="D50" s="48" t="s">
        <v>59</v>
      </c>
      <c r="E50" s="48" t="s">
        <v>59</v>
      </c>
      <c r="F50" s="48" t="s">
        <v>60</v>
      </c>
      <c r="G50" s="46" t="str">
        <f t="shared" si="1"/>
        <v>MK135/S135/S135/S135/MK135 - BC</v>
      </c>
    </row>
    <row r="51" spans="1:7" x14ac:dyDescent="0.3">
      <c r="A51" s="48" t="s">
        <v>70</v>
      </c>
      <c r="B51" s="48" t="s">
        <v>60</v>
      </c>
      <c r="C51" s="48" t="s">
        <v>71</v>
      </c>
      <c r="D51" s="48" t="s">
        <v>57</v>
      </c>
      <c r="E51" s="48" t="s">
        <v>71</v>
      </c>
      <c r="F51" s="48" t="s">
        <v>60</v>
      </c>
      <c r="G51" s="46" t="str">
        <f t="shared" si="1"/>
        <v>MK135/S140/S080/S140/MK135 - BC</v>
      </c>
    </row>
    <row r="52" spans="1:7" x14ac:dyDescent="0.3">
      <c r="A52" s="48" t="s">
        <v>70</v>
      </c>
      <c r="B52" s="48" t="s">
        <v>60</v>
      </c>
      <c r="C52" s="48" t="s">
        <v>67</v>
      </c>
      <c r="D52" s="48" t="s">
        <v>59</v>
      </c>
      <c r="E52" s="48" t="s">
        <v>67</v>
      </c>
      <c r="F52" s="48" t="s">
        <v>60</v>
      </c>
      <c r="G52" s="46" t="str">
        <f t="shared" si="1"/>
        <v>MK135/S175/S135/S175/MK135 - BC</v>
      </c>
    </row>
    <row r="53" spans="1:7" x14ac:dyDescent="0.3">
      <c r="A53" s="48" t="s">
        <v>70</v>
      </c>
      <c r="B53" s="48" t="s">
        <v>58</v>
      </c>
      <c r="C53" s="48" t="s">
        <v>57</v>
      </c>
      <c r="D53" s="48" t="s">
        <v>57</v>
      </c>
      <c r="E53" s="48" t="s">
        <v>57</v>
      </c>
      <c r="F53" s="48" t="s">
        <v>57</v>
      </c>
      <c r="G53" s="46" t="str">
        <f t="shared" si="1"/>
        <v>T090/S080/S080/S080/S080 - BC</v>
      </c>
    </row>
    <row r="54" spans="1:7" x14ac:dyDescent="0.3">
      <c r="A54" s="48" t="s">
        <v>70</v>
      </c>
      <c r="B54" s="48" t="s">
        <v>58</v>
      </c>
      <c r="C54" s="48" t="s">
        <v>57</v>
      </c>
      <c r="D54" s="48" t="s">
        <v>57</v>
      </c>
      <c r="E54" s="48" t="s">
        <v>57</v>
      </c>
      <c r="F54" s="48" t="s">
        <v>58</v>
      </c>
      <c r="G54" s="46" t="str">
        <f t="shared" si="1"/>
        <v>T090/S080/S080/S080/T090 - BC</v>
      </c>
    </row>
    <row r="55" spans="1:7" x14ac:dyDescent="0.3">
      <c r="A55" s="48" t="s">
        <v>72</v>
      </c>
      <c r="B55" s="48" t="s">
        <v>56</v>
      </c>
      <c r="C55" s="48" t="s">
        <v>66</v>
      </c>
      <c r="D55" s="48" t="s">
        <v>57</v>
      </c>
      <c r="E55" s="48" t="s">
        <v>66</v>
      </c>
      <c r="F55" s="48" t="s">
        <v>58</v>
      </c>
      <c r="G55" s="46" t="str">
        <f t="shared" si="1"/>
        <v>B120/S120/S080/S120/T090 - EB</v>
      </c>
    </row>
    <row r="56" spans="1:7" x14ac:dyDescent="0.3">
      <c r="A56" s="48" t="s">
        <v>72</v>
      </c>
      <c r="B56" s="48" t="s">
        <v>56</v>
      </c>
      <c r="C56" s="48" t="s">
        <v>59</v>
      </c>
      <c r="D56" s="48" t="s">
        <v>57</v>
      </c>
      <c r="E56" s="48" t="s">
        <v>59</v>
      </c>
      <c r="F56" s="48" t="s">
        <v>61</v>
      </c>
      <c r="G56" s="46" t="str">
        <f t="shared" si="1"/>
        <v>B120/S135/S080/S135/MK110 - EB</v>
      </c>
    </row>
    <row r="57" spans="1:7" x14ac:dyDescent="0.3">
      <c r="A57" s="48" t="s">
        <v>72</v>
      </c>
      <c r="B57" s="48" t="s">
        <v>63</v>
      </c>
      <c r="C57" s="48" t="s">
        <v>57</v>
      </c>
      <c r="D57" s="48" t="s">
        <v>57</v>
      </c>
      <c r="E57" s="48" t="s">
        <v>57</v>
      </c>
      <c r="F57" s="48" t="s">
        <v>58</v>
      </c>
      <c r="G57" s="46" t="str">
        <f t="shared" si="1"/>
        <v>B125/S080/S080/S080/T090 - EB</v>
      </c>
    </row>
    <row r="58" spans="1:7" x14ac:dyDescent="0.3">
      <c r="A58" s="48" t="s">
        <v>72</v>
      </c>
      <c r="B58" s="48" t="s">
        <v>65</v>
      </c>
      <c r="C58" s="48" t="s">
        <v>66</v>
      </c>
      <c r="D58" s="48" t="s">
        <v>57</v>
      </c>
      <c r="E58" s="48" t="s">
        <v>66</v>
      </c>
      <c r="F58" s="48" t="s">
        <v>60</v>
      </c>
      <c r="G58" s="46" t="str">
        <f t="shared" si="1"/>
        <v>KR135/S120/S080/S120/MK135 - EB</v>
      </c>
    </row>
    <row r="59" spans="1:7" x14ac:dyDescent="0.3">
      <c r="A59" s="48" t="s">
        <v>72</v>
      </c>
      <c r="B59" s="48" t="s">
        <v>61</v>
      </c>
      <c r="C59" s="48" t="s">
        <v>57</v>
      </c>
      <c r="D59" s="48" t="s">
        <v>57</v>
      </c>
      <c r="E59" s="48" t="s">
        <v>57</v>
      </c>
      <c r="F59" s="48" t="s">
        <v>61</v>
      </c>
      <c r="G59" s="46" t="str">
        <f t="shared" si="1"/>
        <v>MK110/S080/S080/S080/MK110 - EB</v>
      </c>
    </row>
    <row r="60" spans="1:7" x14ac:dyDescent="0.3">
      <c r="A60" s="48" t="s">
        <v>72</v>
      </c>
      <c r="B60" s="48" t="s">
        <v>61</v>
      </c>
      <c r="C60" s="48" t="s">
        <v>57</v>
      </c>
      <c r="D60" s="48" t="s">
        <v>57</v>
      </c>
      <c r="E60" s="48" t="s">
        <v>57</v>
      </c>
      <c r="F60" s="48" t="s">
        <v>58</v>
      </c>
      <c r="G60" s="46" t="str">
        <f t="shared" si="1"/>
        <v>MK110/S080/S080/S080/T090 - EB</v>
      </c>
    </row>
    <row r="61" spans="1:7" x14ac:dyDescent="0.3">
      <c r="A61" s="48" t="s">
        <v>72</v>
      </c>
      <c r="B61" s="48" t="s">
        <v>61</v>
      </c>
      <c r="C61" s="48" t="s">
        <v>66</v>
      </c>
      <c r="D61" s="48" t="s">
        <v>57</v>
      </c>
      <c r="E61" s="48" t="s">
        <v>66</v>
      </c>
      <c r="F61" s="48" t="s">
        <v>58</v>
      </c>
      <c r="G61" s="46" t="str">
        <f t="shared" si="1"/>
        <v>MK110/S120/S080/S120/T090 - EB</v>
      </c>
    </row>
    <row r="62" spans="1:7" x14ac:dyDescent="0.3">
      <c r="A62" s="48" t="s">
        <v>72</v>
      </c>
      <c r="B62" s="48" t="s">
        <v>61</v>
      </c>
      <c r="C62" s="48" t="s">
        <v>59</v>
      </c>
      <c r="D62" s="48" t="s">
        <v>57</v>
      </c>
      <c r="E62" s="48" t="s">
        <v>59</v>
      </c>
      <c r="F62" s="48" t="s">
        <v>58</v>
      </c>
      <c r="G62" s="46" t="str">
        <f t="shared" si="1"/>
        <v>MK110/S135/S080/S135/T090 - EB</v>
      </c>
    </row>
    <row r="63" spans="1:7" x14ac:dyDescent="0.3">
      <c r="A63" s="48" t="s">
        <v>72</v>
      </c>
      <c r="B63" s="48" t="s">
        <v>60</v>
      </c>
      <c r="C63" s="48" t="s">
        <v>59</v>
      </c>
      <c r="D63" s="48" t="s">
        <v>57</v>
      </c>
      <c r="E63" s="48" t="s">
        <v>59</v>
      </c>
      <c r="F63" s="48" t="s">
        <v>60</v>
      </c>
      <c r="G63" s="46" t="str">
        <f t="shared" si="1"/>
        <v>MK135/S135/S080/S135/MK135 - EB</v>
      </c>
    </row>
    <row r="64" spans="1:7" x14ac:dyDescent="0.3">
      <c r="A64" s="48" t="s">
        <v>72</v>
      </c>
      <c r="B64" s="48" t="s">
        <v>58</v>
      </c>
      <c r="C64" s="48" t="s">
        <v>57</v>
      </c>
      <c r="D64" s="48" t="s">
        <v>57</v>
      </c>
      <c r="E64" s="48" t="s">
        <v>57</v>
      </c>
      <c r="F64" s="48" t="s">
        <v>58</v>
      </c>
      <c r="G64" s="46" t="str">
        <f t="shared" si="1"/>
        <v>T090/S080/S080/S080/T090 - EB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29</v>
      </c>
    </row>
    <row r="3" spans="1:1" x14ac:dyDescent="0.3">
      <c r="A3" s="27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KOLİ SİPARİŞ FORMU</vt:lpstr>
      <vt:lpstr>SİPARİŞ OLIŞTURMA VERİ DOSYASI</vt:lpstr>
      <vt:lpstr>KOLİ HESAPLAMA VERİ DOSYASI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2026-06-03T05:56:55Z</dcterms:modified>
</cp:coreProperties>
</file>